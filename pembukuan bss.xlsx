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y Love Cantik\Azzahra Course\Web Azzahra Course\"/>
    </mc:Choice>
  </mc:AlternateContent>
  <xr:revisionPtr revIDLastSave="0" documentId="13_ncr:1_{2EC8273B-834E-4101-BA4E-52700AF82D86}" xr6:coauthVersionLast="47" xr6:coauthVersionMax="47" xr10:uidLastSave="{00000000-0000-0000-0000-000000000000}"/>
  <bookViews>
    <workbookView xWindow="11424" yWindow="0" windowWidth="11712" windowHeight="12336" firstSheet="2" activeTab="2" xr2:uid="{00000000-000D-0000-FFFF-FFFF00000000}"/>
  </bookViews>
  <sheets>
    <sheet name="Database Nasabah" sheetId="1" r:id="rId1"/>
    <sheet name="Database Kategori Sampah" sheetId="2" r:id="rId2"/>
    <sheet name="Pembukuan" sheetId="3" r:id="rId3"/>
    <sheet name="Sheet2" sheetId="5" r:id="rId4"/>
  </sheets>
  <externalReferences>
    <externalReference r:id="rId5"/>
  </externalReferences>
  <definedNames>
    <definedName name="Datakategori">'Database Kategori Sampah'!$1:$1048576</definedName>
    <definedName name="Datanasabah">'Database Nasabah'!$1:$1048576</definedName>
    <definedName name="Pembukuan">Pembukuan!$1:$1048576</definedName>
    <definedName name="tabel1">[1]RINC!$A$3:$AB$2063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B8" i="5" s="1"/>
  <c r="C5" i="5"/>
  <c r="C4" i="5"/>
  <c r="C3" i="5"/>
  <c r="I3" i="3"/>
  <c r="J3" i="3" s="1"/>
  <c r="I4" i="3"/>
  <c r="J4" i="3" s="1"/>
  <c r="I5" i="3"/>
  <c r="J5" i="3" s="1"/>
  <c r="I6" i="3"/>
  <c r="J6" i="3" s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J20" i="3" s="1"/>
  <c r="I21" i="3"/>
  <c r="J21" i="3" s="1"/>
  <c r="I22" i="3"/>
  <c r="J22" i="3" s="1"/>
  <c r="I23" i="3"/>
  <c r="J23" i="3" s="1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J48" i="3" s="1"/>
  <c r="I49" i="3"/>
  <c r="J49" i="3" s="1"/>
  <c r="I50" i="3"/>
  <c r="J50" i="3" s="1"/>
  <c r="I51" i="3"/>
  <c r="J51" i="3" s="1"/>
  <c r="I52" i="3"/>
  <c r="J52" i="3" s="1"/>
  <c r="I53" i="3"/>
  <c r="J53" i="3" s="1"/>
  <c r="I54" i="3"/>
  <c r="J54" i="3" s="1"/>
  <c r="I55" i="3"/>
  <c r="J55" i="3" s="1"/>
  <c r="I56" i="3"/>
  <c r="J56" i="3" s="1"/>
  <c r="I57" i="3"/>
  <c r="J57" i="3" s="1"/>
  <c r="I58" i="3"/>
  <c r="J58" i="3" s="1"/>
  <c r="I59" i="3"/>
  <c r="J59" i="3" s="1"/>
  <c r="I60" i="3"/>
  <c r="J60" i="3" s="1"/>
  <c r="I61" i="3"/>
  <c r="J61" i="3" s="1"/>
  <c r="I62" i="3"/>
  <c r="J62" i="3" s="1"/>
  <c r="I63" i="3"/>
  <c r="J63" i="3" s="1"/>
  <c r="I64" i="3"/>
  <c r="J64" i="3" s="1"/>
  <c r="I65" i="3"/>
  <c r="J65" i="3" s="1"/>
  <c r="I66" i="3"/>
  <c r="J66" i="3" s="1"/>
  <c r="I67" i="3"/>
  <c r="J67" i="3" s="1"/>
  <c r="I68" i="3"/>
  <c r="J68" i="3" s="1"/>
  <c r="I69" i="3"/>
  <c r="J69" i="3" s="1"/>
  <c r="I70" i="3"/>
  <c r="J70" i="3" s="1"/>
  <c r="I71" i="3"/>
  <c r="J71" i="3" s="1"/>
  <c r="I72" i="3"/>
  <c r="J72" i="3" s="1"/>
  <c r="I73" i="3"/>
  <c r="J73" i="3" s="1"/>
  <c r="I2" i="3"/>
  <c r="J2" i="3" s="1"/>
  <c r="I74" i="3"/>
  <c r="J74" i="3" s="1"/>
  <c r="I75" i="3"/>
  <c r="J75" i="3" s="1"/>
  <c r="I76" i="3"/>
  <c r="J76" i="3" s="1"/>
  <c r="I77" i="3"/>
  <c r="J77" i="3" s="1"/>
  <c r="I78" i="3"/>
  <c r="J78" i="3" s="1"/>
  <c r="I79" i="3"/>
  <c r="J79" i="3" s="1"/>
  <c r="I80" i="3"/>
  <c r="J80" i="3" s="1"/>
  <c r="I81" i="3"/>
  <c r="J81" i="3" s="1"/>
  <c r="I82" i="3"/>
  <c r="J82" i="3" s="1"/>
  <c r="I83" i="3"/>
  <c r="J83" i="3" s="1"/>
  <c r="I84" i="3"/>
  <c r="J84" i="3" s="1"/>
  <c r="I85" i="3"/>
  <c r="J85" i="3" s="1"/>
  <c r="I86" i="3"/>
  <c r="J86" i="3" s="1"/>
  <c r="I87" i="3"/>
  <c r="J87" i="3" s="1"/>
  <c r="I88" i="3"/>
  <c r="J88" i="3" s="1"/>
  <c r="I89" i="3"/>
  <c r="J89" i="3" s="1"/>
  <c r="I90" i="3"/>
  <c r="J90" i="3" s="1"/>
  <c r="G90" i="3" l="1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G2" i="3"/>
  <c r="E2" i="3"/>
</calcChain>
</file>

<file path=xl/sharedStrings.xml><?xml version="1.0" encoding="utf-8"?>
<sst xmlns="http://schemas.openxmlformats.org/spreadsheetml/2006/main" count="374" uniqueCount="186">
  <si>
    <t>KODE NASABAH</t>
  </si>
  <si>
    <t>No. Rek</t>
  </si>
  <si>
    <t>Nama Nasabah</t>
  </si>
  <si>
    <t>26.02.21.001</t>
  </si>
  <si>
    <t>Sindi nur latifah</t>
  </si>
  <si>
    <t>26.02.21.002</t>
  </si>
  <si>
    <t>muhammad amir mahmud</t>
  </si>
  <si>
    <t>26.02.21.003</t>
  </si>
  <si>
    <t>Maudy Wahyuni</t>
  </si>
  <si>
    <t>26.02.21.004</t>
  </si>
  <si>
    <t>Sucitra</t>
  </si>
  <si>
    <t>26.02.21.005</t>
  </si>
  <si>
    <t>KSR</t>
  </si>
  <si>
    <t>26.02.21.017</t>
  </si>
  <si>
    <t>Mauizatul hasanah</t>
  </si>
  <si>
    <t>26.02.21.008</t>
  </si>
  <si>
    <t>26.02.21.009</t>
  </si>
  <si>
    <t>Annisa fauziah</t>
  </si>
  <si>
    <t>26.02.21.010</t>
  </si>
  <si>
    <t>Faza Fauziah</t>
  </si>
  <si>
    <t>26.02.21.011</t>
  </si>
  <si>
    <t>Nurul Amelia</t>
  </si>
  <si>
    <t>26.02.21.012</t>
  </si>
  <si>
    <t>M. khairul huda</t>
  </si>
  <si>
    <t>26.02.21.013</t>
  </si>
  <si>
    <t>Indo masriani</t>
  </si>
  <si>
    <t>26.02.21.014</t>
  </si>
  <si>
    <t>Maulida ismlamiati</t>
  </si>
  <si>
    <t>26.02.21.015</t>
  </si>
  <si>
    <t>Muhlis</t>
  </si>
  <si>
    <t>26.02.21.016</t>
  </si>
  <si>
    <t>Usamah</t>
  </si>
  <si>
    <t>Samsul marif</t>
  </si>
  <si>
    <t>26.02.21.018</t>
  </si>
  <si>
    <t>Rahmah</t>
  </si>
  <si>
    <t>26.02.21.019</t>
  </si>
  <si>
    <t>YUNITA</t>
  </si>
  <si>
    <t>26.02.21.020</t>
  </si>
  <si>
    <t>Dhea Shasmita jaya</t>
  </si>
  <si>
    <t>26.02.21.021</t>
  </si>
  <si>
    <t>Diva risti</t>
  </si>
  <si>
    <t>26.02.21.022</t>
  </si>
  <si>
    <t>Nisrin</t>
  </si>
  <si>
    <t>26.02.21.023</t>
  </si>
  <si>
    <t>UKM JQH</t>
  </si>
  <si>
    <t>26.02.21.024</t>
  </si>
  <si>
    <t>DEMA-U</t>
  </si>
  <si>
    <t>26.02.21.025</t>
  </si>
  <si>
    <t>PRAMUKA</t>
  </si>
  <si>
    <t>26.02.21.026</t>
  </si>
  <si>
    <t>TEATER IQRO</t>
  </si>
  <si>
    <t>26.02.21.027</t>
  </si>
  <si>
    <t>SS MART</t>
  </si>
  <si>
    <t>26.02.21.028</t>
  </si>
  <si>
    <t>26.02.21.029</t>
  </si>
  <si>
    <t>Amalia risky ningrum</t>
  </si>
  <si>
    <t>ORMAWA FEBI</t>
  </si>
  <si>
    <t>Hesti ES 20117</t>
  </si>
  <si>
    <t>Nur azizah azzahra</t>
  </si>
  <si>
    <t>Sindi</t>
  </si>
  <si>
    <t>Amir</t>
  </si>
  <si>
    <t>Maudy</t>
  </si>
  <si>
    <t>Citra</t>
  </si>
  <si>
    <t>izza</t>
  </si>
  <si>
    <t>Zahra</t>
  </si>
  <si>
    <t>Izza</t>
  </si>
  <si>
    <t>Caca</t>
  </si>
  <si>
    <t>Faza</t>
  </si>
  <si>
    <t>Nurul</t>
  </si>
  <si>
    <t>Huda</t>
  </si>
  <si>
    <t>Cece</t>
  </si>
  <si>
    <t>Maulida</t>
  </si>
  <si>
    <t>Samsul</t>
  </si>
  <si>
    <t>Yunita</t>
  </si>
  <si>
    <t>Dhea</t>
  </si>
  <si>
    <t>Diva</t>
  </si>
  <si>
    <t>JQH</t>
  </si>
  <si>
    <t>Demau</t>
  </si>
  <si>
    <t>Pramuka</t>
  </si>
  <si>
    <t>Teater</t>
  </si>
  <si>
    <t>SS</t>
  </si>
  <si>
    <t>Amel</t>
  </si>
  <si>
    <t>Ormawafebi</t>
  </si>
  <si>
    <t>Hesti</t>
  </si>
  <si>
    <t>KODE</t>
  </si>
  <si>
    <t>NAMA BARANG</t>
  </si>
  <si>
    <t>HARGA NASABAH</t>
  </si>
  <si>
    <t>AM</t>
  </si>
  <si>
    <t>ALUMINIUM</t>
  </si>
  <si>
    <t>BS</t>
  </si>
  <si>
    <t>BESI</t>
  </si>
  <si>
    <t>BLW</t>
  </si>
  <si>
    <t>BLOWING</t>
  </si>
  <si>
    <t>BCMP</t>
  </si>
  <si>
    <t>BOTOL CAMPUR</t>
  </si>
  <si>
    <t>BPBENB</t>
  </si>
  <si>
    <t>BOTOL PLASTIK BENING BERSIH</t>
  </si>
  <si>
    <t>BPBB</t>
  </si>
  <si>
    <t>BOTOL PLASTIK BIRU BERSIH</t>
  </si>
  <si>
    <t>BK</t>
  </si>
  <si>
    <t>BOTOL KACA</t>
  </si>
  <si>
    <t>JRG</t>
  </si>
  <si>
    <t>JERIGEN</t>
  </si>
  <si>
    <t>KRD</t>
  </si>
  <si>
    <t>KARDUS</t>
  </si>
  <si>
    <t>MJ</t>
  </si>
  <si>
    <t>MINYAK JELANTAH</t>
  </si>
  <si>
    <t>RK</t>
  </si>
  <si>
    <t>PIRING TELUR / RAK TELUR</t>
  </si>
  <si>
    <t>TB</t>
  </si>
  <si>
    <t>TEMBAGA</t>
  </si>
  <si>
    <t>TUTUP BOTOL</t>
  </si>
  <si>
    <t>KODE BARANG</t>
  </si>
  <si>
    <t>REKENING</t>
  </si>
  <si>
    <t>NAMA NASABAH</t>
  </si>
  <si>
    <t>KATEGORI</t>
  </si>
  <si>
    <t>QTY (ONS)</t>
  </si>
  <si>
    <t>TOTAL NASABAH</t>
  </si>
  <si>
    <t>Ksr</t>
  </si>
  <si>
    <t>ksr</t>
  </si>
  <si>
    <t>cece</t>
  </si>
  <si>
    <t>amir</t>
  </si>
  <si>
    <t>maudy</t>
  </si>
  <si>
    <t>samsul</t>
  </si>
  <si>
    <t>zahra</t>
  </si>
  <si>
    <t>caca</t>
  </si>
  <si>
    <t>muhlis</t>
  </si>
  <si>
    <t>rahmah</t>
  </si>
  <si>
    <t>usamah</t>
  </si>
  <si>
    <t>yunita</t>
  </si>
  <si>
    <t>demau</t>
  </si>
  <si>
    <t>diva</t>
  </si>
  <si>
    <t>maulida</t>
  </si>
  <si>
    <t>jqh</t>
  </si>
  <si>
    <t>teater</t>
  </si>
  <si>
    <t>ss</t>
  </si>
  <si>
    <t>nisrin</t>
  </si>
  <si>
    <t>sindi</t>
  </si>
  <si>
    <t>huda</t>
  </si>
  <si>
    <t>citra</t>
  </si>
  <si>
    <t>nurul</t>
  </si>
  <si>
    <t>dhea</t>
  </si>
  <si>
    <t>a</t>
  </si>
  <si>
    <t>Botol Warna</t>
  </si>
  <si>
    <t>BW</t>
  </si>
  <si>
    <t>Kertas Campur</t>
  </si>
  <si>
    <t>KC</t>
  </si>
  <si>
    <t>Kertas Putih</t>
  </si>
  <si>
    <t>KP</t>
  </si>
  <si>
    <t>KERTAS Duplex</t>
  </si>
  <si>
    <t>KD</t>
  </si>
  <si>
    <t>GB</t>
  </si>
  <si>
    <t>GELAS Bersih</t>
  </si>
  <si>
    <t>Kertas KORAN</t>
  </si>
  <si>
    <t>KK</t>
  </si>
  <si>
    <t>Kaleng Soft Drink</t>
  </si>
  <si>
    <t>KSD</t>
  </si>
  <si>
    <t>KALENG biasa</t>
  </si>
  <si>
    <t>KB</t>
  </si>
  <si>
    <t>plastik Kerasan</t>
  </si>
  <si>
    <t>PK</t>
  </si>
  <si>
    <t>Galon</t>
  </si>
  <si>
    <t>Gelas Gambar</t>
  </si>
  <si>
    <t>GG</t>
  </si>
  <si>
    <t>Gelas Kotor</t>
  </si>
  <si>
    <t>GK</t>
  </si>
  <si>
    <t>No. Rekening                          :</t>
  </si>
  <si>
    <t>Fakultas / Prodi / Instansi  :</t>
  </si>
  <si>
    <t>Nama                                          :</t>
  </si>
  <si>
    <t>Kode                                           :</t>
  </si>
  <si>
    <t>Prodi /Instansi</t>
  </si>
  <si>
    <t>Ekonomi Syariah</t>
  </si>
  <si>
    <t>Semester</t>
  </si>
  <si>
    <t>Semester                                  :</t>
  </si>
  <si>
    <t>Perbankan Syariah</t>
  </si>
  <si>
    <t>amel</t>
  </si>
  <si>
    <t>Tanggal</t>
  </si>
  <si>
    <t>Kategori</t>
  </si>
  <si>
    <t>QTY</t>
  </si>
  <si>
    <t>Harga</t>
  </si>
  <si>
    <t>Total Harga</t>
  </si>
  <si>
    <t>Kode Harga</t>
  </si>
  <si>
    <t>Harga 1 (KG)</t>
  </si>
  <si>
    <t>Harga 2 (Ons)</t>
  </si>
  <si>
    <t>26.02.21.006</t>
  </si>
  <si>
    <t>26.02.21.007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</si>
</sst>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dd/mm/yyyy;@"/>
    <numFmt numFmtId="166" formatCode="_-&quot;Rp&quot;* #,##0_-;\-&quot;Rp&quot;* #,##0_-;_-&quot;Rp&quot;* &quot;-&quot;_-;_-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164" fontId="6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166" fontId="1" fillId="0" borderId="4" xfId="1" applyNumberFormat="1" applyBorder="1"/>
    <xf numFmtId="0" fontId="1" fillId="0" borderId="5" xfId="1" applyBorder="1"/>
    <xf numFmtId="0" fontId="1" fillId="0" borderId="6" xfId="1" applyBorder="1"/>
    <xf numFmtId="166" fontId="1" fillId="0" borderId="7" xfId="1" applyNumberFormat="1" applyBorder="1"/>
    <xf numFmtId="0" fontId="1" fillId="0" borderId="9" xfId="1" applyBorder="1"/>
    <xf numFmtId="0" fontId="1" fillId="0" borderId="10" xfId="1" applyBorder="1"/>
    <xf numFmtId="166" fontId="1" fillId="0" borderId="11" xfId="1" applyNumberFormat="1" applyBorder="1"/>
    <xf numFmtId="165" fontId="4" fillId="0" borderId="1" xfId="2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2" applyBorder="1" applyAlignment="1">
      <alignment horizontal="center" vertical="center"/>
    </xf>
    <xf numFmtId="0" fontId="4" fillId="0" borderId="0" xfId="2" applyAlignment="1">
      <alignment horizontal="center" vertical="center"/>
    </xf>
    <xf numFmtId="0" fontId="4" fillId="0" borderId="1" xfId="2" applyBorder="1" applyAlignment="1">
      <alignment horizontal="left" vertical="center"/>
    </xf>
    <xf numFmtId="1" fontId="4" fillId="0" borderId="1" xfId="2" applyNumberFormat="1" applyBorder="1" applyAlignment="1">
      <alignment horizontal="center" vertical="center"/>
    </xf>
    <xf numFmtId="0" fontId="4" fillId="0" borderId="3" xfId="1" applyFont="1" applyBorder="1"/>
    <xf numFmtId="0" fontId="4" fillId="0" borderId="2" xfId="1" applyFont="1" applyBorder="1"/>
    <xf numFmtId="166" fontId="1" fillId="0" borderId="16" xfId="1" applyNumberFormat="1" applyBorder="1"/>
    <xf numFmtId="0" fontId="4" fillId="0" borderId="15" xfId="1" applyFont="1" applyBorder="1"/>
    <xf numFmtId="0" fontId="4" fillId="0" borderId="14" xfId="1" applyFont="1" applyBorder="1"/>
    <xf numFmtId="0" fontId="4" fillId="4" borderId="1" xfId="2" applyFill="1" applyBorder="1" applyAlignment="1">
      <alignment horizontal="center" vertical="center"/>
    </xf>
    <xf numFmtId="167" fontId="7" fillId="0" borderId="1" xfId="3" applyNumberFormat="1" applyFont="1" applyBorder="1" applyAlignment="1">
      <alignment vertical="center"/>
    </xf>
    <xf numFmtId="167" fontId="7" fillId="0" borderId="17" xfId="3" applyNumberFormat="1" applyFont="1" applyBorder="1" applyAlignment="1">
      <alignment vertical="center"/>
    </xf>
    <xf numFmtId="0" fontId="4" fillId="0" borderId="19" xfId="2" applyBorder="1" applyAlignment="1">
      <alignment horizontal="center" vertical="center"/>
    </xf>
    <xf numFmtId="166" fontId="4" fillId="0" borderId="4" xfId="2" applyNumberFormat="1" applyBorder="1" applyAlignment="1">
      <alignment horizontal="left" vertical="center"/>
    </xf>
    <xf numFmtId="0" fontId="4" fillId="0" borderId="19" xfId="2" applyBorder="1" applyAlignment="1">
      <alignment horizontal="center" vertical="center" wrapText="1"/>
    </xf>
    <xf numFmtId="0" fontId="4" fillId="0" borderId="20" xfId="2" applyBorder="1" applyAlignment="1">
      <alignment horizontal="center" vertical="center"/>
    </xf>
    <xf numFmtId="0" fontId="4" fillId="0" borderId="17" xfId="2" applyBorder="1" applyAlignment="1">
      <alignment horizontal="center" vertical="center"/>
    </xf>
    <xf numFmtId="165" fontId="4" fillId="0" borderId="17" xfId="2" applyNumberFormat="1" applyBorder="1" applyAlignment="1">
      <alignment horizontal="center" vertical="center"/>
    </xf>
    <xf numFmtId="0" fontId="4" fillId="0" borderId="17" xfId="2" applyBorder="1" applyAlignment="1">
      <alignment horizontal="left" vertical="center"/>
    </xf>
    <xf numFmtId="166" fontId="4" fillId="0" borderId="7" xfId="2" applyNumberFormat="1" applyBorder="1" applyAlignment="1">
      <alignment horizontal="left" vertical="center"/>
    </xf>
    <xf numFmtId="0" fontId="4" fillId="0" borderId="21" xfId="2" applyBorder="1" applyAlignment="1">
      <alignment horizontal="center" vertical="center"/>
    </xf>
    <xf numFmtId="0" fontId="4" fillId="0" borderId="22" xfId="2" applyBorder="1" applyAlignment="1">
      <alignment horizontal="center" vertical="center"/>
    </xf>
    <xf numFmtId="1" fontId="4" fillId="0" borderId="22" xfId="2" applyNumberFormat="1" applyBorder="1" applyAlignment="1">
      <alignment horizontal="center" vertical="center"/>
    </xf>
    <xf numFmtId="0" fontId="4" fillId="0" borderId="22" xfId="2" applyBorder="1" applyAlignment="1">
      <alignment horizontal="left" vertical="center"/>
    </xf>
    <xf numFmtId="0" fontId="4" fillId="4" borderId="22" xfId="2" applyFill="1" applyBorder="1" applyAlignment="1">
      <alignment horizontal="center" vertical="center"/>
    </xf>
    <xf numFmtId="167" fontId="7" fillId="0" borderId="22" xfId="3" applyNumberFormat="1" applyFont="1" applyBorder="1" applyAlignment="1">
      <alignment vertical="center"/>
    </xf>
    <xf numFmtId="166" fontId="4" fillId="0" borderId="11" xfId="2" applyNumberFormat="1" applyBorder="1" applyAlignment="1">
      <alignment horizontal="left" vertical="center"/>
    </xf>
    <xf numFmtId="0" fontId="5" fillId="2" borderId="18" xfId="2" applyFont="1" applyFill="1" applyBorder="1" applyAlignment="1">
      <alignment horizontal="center" vertical="center" wrapText="1"/>
    </xf>
    <xf numFmtId="165" fontId="5" fillId="2" borderId="18" xfId="2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4" fillId="0" borderId="1" xfId="1" applyFont="1" applyBorder="1"/>
    <xf numFmtId="0" fontId="1" fillId="0" borderId="1" xfId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</cellXfs>
  <cellStyles count="4">
    <cellStyle name="Comma" xfId="3" builtinId="3"/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arga01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NC (2)"/>
      <sheetName val="Sheet2"/>
      <sheetName val="11"/>
      <sheetName val="RINC"/>
      <sheetName val="laporan laba rugi"/>
      <sheetName val="pembukuan 7 FEB"/>
      <sheetName val="pembukuan 6 FEB"/>
      <sheetName val="pembukuan 5 FEB"/>
      <sheetName val="pembukuan 4 FEB"/>
      <sheetName val="pembukuan 3 FEB"/>
      <sheetName val="pembukuan 2 FEB"/>
      <sheetName val="pembukuan 1 FEB"/>
      <sheetName val="pembukuan 31 JAN"/>
      <sheetName val="pembukuan 30 JAN"/>
      <sheetName val="pembukuan 29 JAN"/>
      <sheetName val="pembukuan 28 JAN"/>
      <sheetName val="pembukuan 27 JAN"/>
      <sheetName val="pembukuan 26 JAN"/>
      <sheetName val="pembukuan 25 JAN"/>
      <sheetName val="jual"/>
      <sheetName val="part1"/>
      <sheetName val="TTL1"/>
      <sheetName val="TTL4"/>
      <sheetName val="TTL3"/>
      <sheetName val="TLP"/>
      <sheetName val="titipan"/>
      <sheetName val="PIUTANG"/>
      <sheetName val="PLN"/>
      <sheetName val="BAYAR"/>
      <sheetName val="SALDO"/>
      <sheetName val="MEMO"/>
      <sheetName val="coba"/>
      <sheetName val="sanuria (3)"/>
      <sheetName val="sanuria (2)"/>
      <sheetName val="PAYTREN"/>
      <sheetName val="PPOB NUS"/>
      <sheetName val="faspay"/>
      <sheetName val="GRIYA"/>
      <sheetName val="BUKALAPAK"/>
      <sheetName val="Sheet3"/>
      <sheetName val="BPK, RARA"/>
      <sheetName val="Sheet1"/>
      <sheetName val="Sheet4"/>
    </sheetNames>
    <sheetDataSet>
      <sheetData sheetId="0"/>
      <sheetData sheetId="1"/>
      <sheetData sheetId="2"/>
      <sheetData sheetId="3">
        <row r="3">
          <cell r="E3" t="str">
            <v>Dos</v>
          </cell>
          <cell r="F3" t="str">
            <v>lsn</v>
          </cell>
          <cell r="G3" t="str">
            <v>pc</v>
          </cell>
          <cell r="H3" t="str">
            <v>PC</v>
          </cell>
          <cell r="J3" t="str">
            <v>PC</v>
          </cell>
          <cell r="L3" t="str">
            <v>PC</v>
          </cell>
          <cell r="N3" t="str">
            <v>rtg</v>
          </cell>
          <cell r="Q3" t="str">
            <v>pak/ball/ktk/slop</v>
          </cell>
          <cell r="T3" t="str">
            <v>lsn</v>
          </cell>
          <cell r="W3" t="str">
            <v>PC</v>
          </cell>
          <cell r="Y3" t="str">
            <v>PC</v>
          </cell>
          <cell r="AA3" t="str">
            <v>DOS</v>
          </cell>
        </row>
        <row r="4">
          <cell r="A4" t="str">
            <v>ADEMJ</v>
          </cell>
          <cell r="B4" t="str">
            <v xml:space="preserve">Adem Sari </v>
          </cell>
          <cell r="C4">
            <v>24</v>
          </cell>
          <cell r="D4" t="str">
            <v>pak</v>
          </cell>
          <cell r="E4">
            <v>38000</v>
          </cell>
          <cell r="F4">
            <v>114000</v>
          </cell>
          <cell r="G4">
            <v>1583.3333333333333</v>
          </cell>
          <cell r="H4">
            <v>2500</v>
          </cell>
          <cell r="I4" t="str">
            <v>pc</v>
          </cell>
          <cell r="J4">
            <v>2000</v>
          </cell>
          <cell r="K4" t="str">
            <v>pc</v>
          </cell>
          <cell r="L4">
            <v>2000</v>
          </cell>
          <cell r="M4" t="str">
            <v>pc</v>
          </cell>
          <cell r="Q4">
            <v>40000</v>
          </cell>
          <cell r="R4">
            <v>24</v>
          </cell>
          <cell r="S4" t="str">
            <v>pak</v>
          </cell>
          <cell r="W4">
            <v>1700</v>
          </cell>
          <cell r="X4" t="str">
            <v>pc</v>
          </cell>
          <cell r="Y4">
            <v>1700</v>
          </cell>
          <cell r="Z4" t="str">
            <v>pc</v>
          </cell>
        </row>
        <row r="5">
          <cell r="A5" t="str">
            <v>SEGARD</v>
          </cell>
          <cell r="B5" t="str">
            <v>Segar Dingin Renteng</v>
          </cell>
          <cell r="C5">
            <v>12</v>
          </cell>
          <cell r="D5" t="str">
            <v>rtg</v>
          </cell>
          <cell r="E5">
            <v>5616</v>
          </cell>
          <cell r="F5">
            <v>11232</v>
          </cell>
          <cell r="G5">
            <v>468</v>
          </cell>
          <cell r="H5">
            <v>1000</v>
          </cell>
          <cell r="I5" t="str">
            <v>pc</v>
          </cell>
          <cell r="J5">
            <v>1000</v>
          </cell>
          <cell r="K5" t="str">
            <v>pc</v>
          </cell>
          <cell r="N5">
            <v>6500</v>
          </cell>
          <cell r="P5" t="str">
            <v>rtg</v>
          </cell>
        </row>
        <row r="6">
          <cell r="A6" t="str">
            <v>AGARBD</v>
          </cell>
          <cell r="B6" t="str">
            <v>Agar-Agar Bola dunia</v>
          </cell>
          <cell r="C6">
            <v>12</v>
          </cell>
          <cell r="D6" t="str">
            <v>ktk</v>
          </cell>
          <cell r="E6">
            <v>40500</v>
          </cell>
          <cell r="F6">
            <v>835000</v>
          </cell>
          <cell r="G6">
            <v>3375</v>
          </cell>
          <cell r="H6">
            <v>4000</v>
          </cell>
          <cell r="I6" t="str">
            <v>pc</v>
          </cell>
          <cell r="J6">
            <v>4000</v>
          </cell>
          <cell r="K6" t="str">
            <v>pc</v>
          </cell>
          <cell r="L6">
            <v>3800</v>
          </cell>
          <cell r="M6" t="str">
            <v>pc</v>
          </cell>
          <cell r="Q6">
            <v>45000</v>
          </cell>
          <cell r="R6">
            <v>12</v>
          </cell>
          <cell r="S6" t="str">
            <v>ktk</v>
          </cell>
          <cell r="W6">
            <v>3700</v>
          </cell>
          <cell r="X6" t="str">
            <v>pc</v>
          </cell>
          <cell r="Y6">
            <v>3750</v>
          </cell>
          <cell r="Z6" t="str">
            <v>pc</v>
          </cell>
        </row>
        <row r="7">
          <cell r="A7" t="str">
            <v>AJINO250</v>
          </cell>
          <cell r="B7" t="str">
            <v>Ajinomoto 250 gr</v>
          </cell>
          <cell r="C7">
            <v>10</v>
          </cell>
          <cell r="D7" t="str">
            <v>pak</v>
          </cell>
          <cell r="E7">
            <v>78000</v>
          </cell>
          <cell r="F7">
            <v>468000</v>
          </cell>
          <cell r="G7">
            <v>7800</v>
          </cell>
          <cell r="H7">
            <v>9000</v>
          </cell>
          <cell r="I7" t="str">
            <v>pc</v>
          </cell>
          <cell r="J7">
            <v>8700</v>
          </cell>
          <cell r="K7" t="str">
            <v>pc</v>
          </cell>
          <cell r="L7">
            <v>8300</v>
          </cell>
          <cell r="M7" t="str">
            <v>pc</v>
          </cell>
          <cell r="Q7">
            <v>81000</v>
          </cell>
          <cell r="R7">
            <v>10</v>
          </cell>
          <cell r="S7" t="str">
            <v>pak</v>
          </cell>
          <cell r="W7">
            <v>8000</v>
          </cell>
          <cell r="X7" t="str">
            <v>pc</v>
          </cell>
          <cell r="Y7">
            <v>8100</v>
          </cell>
          <cell r="Z7" t="str">
            <v>pc</v>
          </cell>
        </row>
        <row r="8">
          <cell r="A8" t="str">
            <v>ALLOY</v>
          </cell>
          <cell r="B8" t="str">
            <v>ALLOY JELLY NATA ISI 10</v>
          </cell>
          <cell r="C8">
            <v>30</v>
          </cell>
          <cell r="D8" t="str">
            <v>pak</v>
          </cell>
          <cell r="E8">
            <v>44000</v>
          </cell>
          <cell r="F8">
            <v>17600</v>
          </cell>
          <cell r="G8">
            <v>1466.6666666666667</v>
          </cell>
          <cell r="H8">
            <v>2500</v>
          </cell>
          <cell r="I8" t="str">
            <v>pc</v>
          </cell>
          <cell r="J8">
            <v>2500</v>
          </cell>
          <cell r="K8" t="str">
            <v>pc</v>
          </cell>
          <cell r="L8">
            <v>2000</v>
          </cell>
          <cell r="M8" t="str">
            <v>pc</v>
          </cell>
          <cell r="T8">
            <v>20000</v>
          </cell>
          <cell r="U8">
            <v>12</v>
          </cell>
          <cell r="V8" t="str">
            <v>lsn</v>
          </cell>
          <cell r="W8">
            <v>1600</v>
          </cell>
          <cell r="X8" t="str">
            <v>pc</v>
          </cell>
          <cell r="Y8">
            <v>1666.6666666666667</v>
          </cell>
          <cell r="Z8" t="str">
            <v>pc</v>
          </cell>
          <cell r="AA8">
            <v>48000</v>
          </cell>
          <cell r="AB8" t="str">
            <v>dos</v>
          </cell>
        </row>
        <row r="9">
          <cell r="A9" t="str">
            <v>AMPLOP</v>
          </cell>
          <cell r="B9" t="str">
            <v>AMPLOP LEM</v>
          </cell>
          <cell r="C9">
            <v>100</v>
          </cell>
          <cell r="D9" t="str">
            <v>pak</v>
          </cell>
          <cell r="E9">
            <v>12000</v>
          </cell>
          <cell r="F9">
            <v>60000</v>
          </cell>
          <cell r="G9">
            <v>120</v>
          </cell>
          <cell r="H9">
            <v>200</v>
          </cell>
          <cell r="I9" t="str">
            <v>pc</v>
          </cell>
          <cell r="J9">
            <v>200</v>
          </cell>
          <cell r="K9" t="str">
            <v>pc</v>
          </cell>
          <cell r="Q9">
            <v>15000</v>
          </cell>
          <cell r="S9" t="str">
            <v>pak</v>
          </cell>
        </row>
        <row r="10">
          <cell r="A10" t="str">
            <v>MIDIFIT</v>
          </cell>
          <cell r="B10" t="str">
            <v>ALLOY MIDI FIT ISI 5</v>
          </cell>
          <cell r="C10">
            <v>5</v>
          </cell>
          <cell r="D10" t="str">
            <v>pak</v>
          </cell>
          <cell r="E10">
            <v>1833.3333333333333</v>
          </cell>
          <cell r="F10">
            <v>44000</v>
          </cell>
          <cell r="G10">
            <v>366.66666666666663</v>
          </cell>
          <cell r="H10">
            <v>3000</v>
          </cell>
          <cell r="I10" t="str">
            <v>pc</v>
          </cell>
          <cell r="J10">
            <v>3000</v>
          </cell>
          <cell r="K10" t="str">
            <v>pc</v>
          </cell>
          <cell r="L10">
            <v>2500</v>
          </cell>
          <cell r="M10" t="str">
            <v>pc</v>
          </cell>
          <cell r="W10">
            <v>2500</v>
          </cell>
          <cell r="X10" t="str">
            <v>pc</v>
          </cell>
          <cell r="Y10">
            <v>2500</v>
          </cell>
          <cell r="Z10" t="str">
            <v>pc</v>
          </cell>
          <cell r="AA10">
            <v>47500</v>
          </cell>
          <cell r="AB10" t="str">
            <v>dos</v>
          </cell>
        </row>
        <row r="11">
          <cell r="A11" t="str">
            <v>SALONPAS1</v>
          </cell>
          <cell r="B11" t="str">
            <v>Salonpas Renteng</v>
          </cell>
          <cell r="C11">
            <v>10</v>
          </cell>
          <cell r="D11" t="str">
            <v>rtg</v>
          </cell>
          <cell r="E11">
            <v>10000</v>
          </cell>
          <cell r="F11">
            <v>20000</v>
          </cell>
          <cell r="G11">
            <v>1000</v>
          </cell>
          <cell r="H11">
            <v>1500</v>
          </cell>
          <cell r="I11" t="str">
            <v>pc</v>
          </cell>
          <cell r="J11">
            <v>1500</v>
          </cell>
          <cell r="K11" t="str">
            <v>pc</v>
          </cell>
          <cell r="L11">
            <v>1500</v>
          </cell>
          <cell r="M11" t="str">
            <v>pc</v>
          </cell>
          <cell r="N11">
            <v>12000</v>
          </cell>
          <cell r="P11" t="str">
            <v>rtg</v>
          </cell>
          <cell r="Q11">
            <v>23000</v>
          </cell>
          <cell r="S11" t="str">
            <v>pak</v>
          </cell>
        </row>
        <row r="12">
          <cell r="A12" t="str">
            <v>SALONPASK</v>
          </cell>
          <cell r="B12" t="str">
            <v>Salonpas Kotak</v>
          </cell>
          <cell r="C12">
            <v>10</v>
          </cell>
          <cell r="D12" t="str">
            <v>pcs</v>
          </cell>
          <cell r="E12">
            <v>63000</v>
          </cell>
          <cell r="F12">
            <v>378000</v>
          </cell>
          <cell r="G12">
            <v>6300</v>
          </cell>
          <cell r="H12">
            <v>7500</v>
          </cell>
          <cell r="I12" t="str">
            <v>pc</v>
          </cell>
          <cell r="J12">
            <v>7000</v>
          </cell>
          <cell r="K12" t="str">
            <v>pc</v>
          </cell>
          <cell r="L12">
            <v>7000</v>
          </cell>
          <cell r="M12" t="str">
            <v>pc</v>
          </cell>
          <cell r="Q12">
            <v>67000</v>
          </cell>
          <cell r="S12" t="str">
            <v>ktk</v>
          </cell>
        </row>
        <row r="13">
          <cell r="A13" t="str">
            <v>AAA</v>
          </cell>
          <cell r="B13" t="str">
            <v>Balon AAA</v>
          </cell>
          <cell r="C13">
            <v>32</v>
          </cell>
          <cell r="D13" t="str">
            <v>pcs</v>
          </cell>
          <cell r="E13">
            <v>6183.333333333333</v>
          </cell>
          <cell r="F13">
            <v>371000</v>
          </cell>
          <cell r="G13">
            <v>193.22916666666666</v>
          </cell>
          <cell r="H13">
            <v>250</v>
          </cell>
          <cell r="I13" t="str">
            <v>pc</v>
          </cell>
          <cell r="J13">
            <v>250</v>
          </cell>
          <cell r="K13" t="str">
            <v>pc</v>
          </cell>
          <cell r="L13">
            <v>250</v>
          </cell>
          <cell r="M13" t="str">
            <v>pc</v>
          </cell>
          <cell r="Q13">
            <v>7000</v>
          </cell>
          <cell r="S13" t="str">
            <v>pak</v>
          </cell>
        </row>
        <row r="14">
          <cell r="A14" t="str">
            <v>TATA</v>
          </cell>
          <cell r="B14" t="str">
            <v>Balon TATA TOPLES</v>
          </cell>
          <cell r="C14">
            <v>200</v>
          </cell>
          <cell r="D14" t="str">
            <v>pcs</v>
          </cell>
          <cell r="E14">
            <v>21062.5</v>
          </cell>
          <cell r="F14">
            <v>337000</v>
          </cell>
          <cell r="G14">
            <v>105.3125</v>
          </cell>
          <cell r="Q14">
            <v>24000</v>
          </cell>
          <cell r="S14" t="str">
            <v>pak</v>
          </cell>
        </row>
        <row r="15">
          <cell r="A15" t="str">
            <v>KKK</v>
          </cell>
          <cell r="B15" t="str">
            <v>Balon AAA toples KKK</v>
          </cell>
          <cell r="C15">
            <v>140</v>
          </cell>
          <cell r="D15" t="str">
            <v>sak</v>
          </cell>
          <cell r="E15">
            <v>18250</v>
          </cell>
          <cell r="F15">
            <v>219000</v>
          </cell>
          <cell r="G15">
            <v>130.35714285714286</v>
          </cell>
          <cell r="Q15">
            <v>21000</v>
          </cell>
          <cell r="S15" t="str">
            <v>tpls</v>
          </cell>
          <cell r="AA15">
            <v>380000</v>
          </cell>
          <cell r="AB15" t="str">
            <v>sak</v>
          </cell>
        </row>
        <row r="16">
          <cell r="A16" t="str">
            <v>NUGGET500</v>
          </cell>
          <cell r="B16" t="str">
            <v>Nugget  500 GR</v>
          </cell>
          <cell r="C16">
            <v>1</v>
          </cell>
          <cell r="D16" t="str">
            <v>pak</v>
          </cell>
          <cell r="E16">
            <v>26500</v>
          </cell>
          <cell r="G16">
            <v>26500</v>
          </cell>
          <cell r="H16">
            <v>29500</v>
          </cell>
          <cell r="I16" t="str">
            <v>pc</v>
          </cell>
          <cell r="J16">
            <v>29500</v>
          </cell>
          <cell r="K16" t="str">
            <v>pc</v>
          </cell>
          <cell r="L16">
            <v>29500</v>
          </cell>
          <cell r="M16" t="str">
            <v>pc</v>
          </cell>
        </row>
        <row r="17">
          <cell r="A17" t="str">
            <v>WING</v>
          </cell>
          <cell r="B17" t="str">
            <v>WINGS AYAM  GR</v>
          </cell>
          <cell r="C17">
            <v>1</v>
          </cell>
          <cell r="D17" t="str">
            <v>pak</v>
          </cell>
          <cell r="E17">
            <v>39500</v>
          </cell>
          <cell r="G17">
            <v>39500</v>
          </cell>
          <cell r="H17">
            <v>43000</v>
          </cell>
          <cell r="I17" t="str">
            <v>pc</v>
          </cell>
          <cell r="J17">
            <v>29500</v>
          </cell>
          <cell r="K17" t="str">
            <v>pc</v>
          </cell>
          <cell r="L17">
            <v>29500</v>
          </cell>
          <cell r="M17" t="str">
            <v>pc</v>
          </cell>
        </row>
        <row r="18">
          <cell r="A18" t="str">
            <v>KARAGE</v>
          </cell>
          <cell r="B18" t="str">
            <v>KARAGE AYAM GR</v>
          </cell>
          <cell r="C18">
            <v>1</v>
          </cell>
          <cell r="D18" t="str">
            <v>pak</v>
          </cell>
          <cell r="E18">
            <v>39500</v>
          </cell>
          <cell r="G18">
            <v>39500</v>
          </cell>
          <cell r="H18">
            <v>43000</v>
          </cell>
          <cell r="I18" t="str">
            <v>pc</v>
          </cell>
          <cell r="J18">
            <v>29500</v>
          </cell>
          <cell r="K18" t="str">
            <v>pc</v>
          </cell>
          <cell r="L18">
            <v>29500</v>
          </cell>
          <cell r="M18" t="str">
            <v>pc</v>
          </cell>
        </row>
        <row r="19">
          <cell r="A19" t="str">
            <v>OKE500</v>
          </cell>
          <cell r="B19" t="str">
            <v>Nugget OKE  500 GR</v>
          </cell>
          <cell r="C19">
            <v>1</v>
          </cell>
          <cell r="D19" t="str">
            <v>pak</v>
          </cell>
          <cell r="E19">
            <v>19600</v>
          </cell>
          <cell r="G19">
            <v>19600</v>
          </cell>
          <cell r="H19">
            <v>23000</v>
          </cell>
          <cell r="I19" t="str">
            <v>pc</v>
          </cell>
          <cell r="J19">
            <v>23000</v>
          </cell>
          <cell r="K19" t="str">
            <v>pc</v>
          </cell>
          <cell r="L19">
            <v>22500</v>
          </cell>
          <cell r="M19" t="str">
            <v>pc</v>
          </cell>
        </row>
        <row r="20">
          <cell r="A20" t="str">
            <v>AKUMO500</v>
          </cell>
          <cell r="B20" t="str">
            <v>Nugget AKUMO 500 GR</v>
          </cell>
          <cell r="C20">
            <v>1</v>
          </cell>
          <cell r="D20" t="str">
            <v>pak</v>
          </cell>
          <cell r="E20">
            <v>24200</v>
          </cell>
          <cell r="G20">
            <v>24200</v>
          </cell>
          <cell r="H20">
            <v>27500</v>
          </cell>
          <cell r="I20" t="str">
            <v>pc</v>
          </cell>
          <cell r="J20">
            <v>27500</v>
          </cell>
          <cell r="K20" t="str">
            <v>pc</v>
          </cell>
          <cell r="L20">
            <v>27000</v>
          </cell>
          <cell r="M20" t="str">
            <v>pc</v>
          </cell>
        </row>
        <row r="21">
          <cell r="A21" t="str">
            <v>CHAMP250</v>
          </cell>
          <cell r="B21" t="str">
            <v>Nugget CHAMP 250 GR</v>
          </cell>
          <cell r="C21">
            <v>1</v>
          </cell>
          <cell r="D21" t="str">
            <v>pak</v>
          </cell>
          <cell r="E21">
            <v>17600</v>
          </cell>
          <cell r="G21">
            <v>17600</v>
          </cell>
          <cell r="H21">
            <v>20000</v>
          </cell>
          <cell r="I21" t="str">
            <v>pc</v>
          </cell>
          <cell r="J21">
            <v>20000</v>
          </cell>
          <cell r="K21" t="str">
            <v>pc</v>
          </cell>
          <cell r="L21">
            <v>19500</v>
          </cell>
          <cell r="M21" t="str">
            <v>pc</v>
          </cell>
        </row>
        <row r="22">
          <cell r="A22" t="str">
            <v>ANTANGIN</v>
          </cell>
          <cell r="B22" t="str">
            <v>Antangin</v>
          </cell>
          <cell r="C22">
            <v>12</v>
          </cell>
          <cell r="D22" t="str">
            <v>ktk</v>
          </cell>
          <cell r="E22">
            <v>26000</v>
          </cell>
          <cell r="G22">
            <v>2166.6666666666665</v>
          </cell>
          <cell r="H22">
            <v>2500</v>
          </cell>
          <cell r="I22" t="str">
            <v>pc</v>
          </cell>
          <cell r="J22">
            <v>2500</v>
          </cell>
          <cell r="K22" t="str">
            <v>pc</v>
          </cell>
          <cell r="L22">
            <v>2400</v>
          </cell>
          <cell r="M22" t="str">
            <v>pc</v>
          </cell>
          <cell r="Q22">
            <v>28000</v>
          </cell>
          <cell r="S22" t="str">
            <v>ktk</v>
          </cell>
        </row>
        <row r="23">
          <cell r="A23" t="str">
            <v>BAMA</v>
          </cell>
          <cell r="B23" t="str">
            <v>Makanan Ayam</v>
          </cell>
          <cell r="C23">
            <v>49</v>
          </cell>
          <cell r="D23" t="str">
            <v>sak</v>
          </cell>
          <cell r="E23">
            <v>410000</v>
          </cell>
          <cell r="G23">
            <v>8367.3469387755104</v>
          </cell>
          <cell r="H23">
            <v>9500</v>
          </cell>
          <cell r="I23" t="str">
            <v>kg</v>
          </cell>
          <cell r="J23">
            <v>9500</v>
          </cell>
          <cell r="K23" t="str">
            <v>kg</v>
          </cell>
          <cell r="L23">
            <v>9500</v>
          </cell>
          <cell r="M23" t="str">
            <v>kg</v>
          </cell>
          <cell r="Y23">
            <v>9500</v>
          </cell>
          <cell r="Z23" t="str">
            <v>Kgs</v>
          </cell>
          <cell r="AA23">
            <v>425000</v>
          </cell>
          <cell r="AB23" t="str">
            <v>sak</v>
          </cell>
        </row>
        <row r="24">
          <cell r="A24" t="str">
            <v>PIU</v>
          </cell>
          <cell r="B24" t="str">
            <v xml:space="preserve">Makanan Ikan PIU </v>
          </cell>
          <cell r="C24">
            <v>30</v>
          </cell>
          <cell r="D24" t="str">
            <v>sak</v>
          </cell>
          <cell r="E24">
            <v>200000</v>
          </cell>
          <cell r="G24">
            <v>6666.666666666667</v>
          </cell>
          <cell r="H24">
            <v>7500</v>
          </cell>
          <cell r="I24" t="str">
            <v>kg</v>
          </cell>
          <cell r="J24">
            <v>7500</v>
          </cell>
          <cell r="K24" t="str">
            <v>kg</v>
          </cell>
          <cell r="L24">
            <v>7500</v>
          </cell>
          <cell r="M24" t="str">
            <v>kg</v>
          </cell>
          <cell r="Y24">
            <v>7500</v>
          </cell>
          <cell r="Z24" t="str">
            <v>Kgs</v>
          </cell>
          <cell r="AA24">
            <v>210000</v>
          </cell>
          <cell r="AB24" t="str">
            <v>sak</v>
          </cell>
        </row>
        <row r="25">
          <cell r="A25" t="str">
            <v>BANGO220</v>
          </cell>
          <cell r="B25" t="str">
            <v>Bango Kcp. Manis 220 ml</v>
          </cell>
          <cell r="C25">
            <v>24</v>
          </cell>
          <cell r="D25" t="str">
            <v>pcs</v>
          </cell>
          <cell r="E25">
            <v>252000</v>
          </cell>
          <cell r="F25">
            <v>126000</v>
          </cell>
          <cell r="G25">
            <v>10500</v>
          </cell>
          <cell r="H25">
            <v>11500</v>
          </cell>
          <cell r="I25" t="str">
            <v>pc</v>
          </cell>
          <cell r="J25">
            <v>11300</v>
          </cell>
          <cell r="K25" t="str">
            <v>pc</v>
          </cell>
          <cell r="L25">
            <v>11000</v>
          </cell>
          <cell r="M25" t="str">
            <v>pc</v>
          </cell>
          <cell r="T25">
            <v>128500</v>
          </cell>
          <cell r="U25">
            <v>12</v>
          </cell>
          <cell r="V25" t="str">
            <v>lsn</v>
          </cell>
          <cell r="Y25">
            <v>10800</v>
          </cell>
          <cell r="Z25" t="str">
            <v>pc</v>
          </cell>
        </row>
        <row r="26">
          <cell r="A26" t="str">
            <v>BANGOR</v>
          </cell>
          <cell r="B26" t="str">
            <v>Bango Kcp. Manis R  30 ml</v>
          </cell>
          <cell r="C26">
            <v>12</v>
          </cell>
          <cell r="D26" t="str">
            <v>rtg</v>
          </cell>
          <cell r="E26">
            <v>13500</v>
          </cell>
          <cell r="F26">
            <v>162000</v>
          </cell>
          <cell r="G26">
            <v>1125</v>
          </cell>
          <cell r="H26">
            <v>1500</v>
          </cell>
          <cell r="I26" t="str">
            <v>pc</v>
          </cell>
          <cell r="J26">
            <v>1500</v>
          </cell>
          <cell r="K26" t="str">
            <v>pc</v>
          </cell>
          <cell r="L26">
            <v>1300</v>
          </cell>
          <cell r="M26" t="str">
            <v>pc</v>
          </cell>
          <cell r="N26">
            <v>14500</v>
          </cell>
          <cell r="O26">
            <v>12</v>
          </cell>
          <cell r="P26" t="str">
            <v>rtg</v>
          </cell>
          <cell r="Y26">
            <v>1250</v>
          </cell>
          <cell r="Z26" t="str">
            <v>pc</v>
          </cell>
        </row>
        <row r="27">
          <cell r="A27" t="str">
            <v>BANGO135</v>
          </cell>
          <cell r="B27" t="str">
            <v>Bango Kcp. Manis K 135 ml</v>
          </cell>
          <cell r="C27">
            <v>48</v>
          </cell>
          <cell r="D27" t="str">
            <v>btl</v>
          </cell>
          <cell r="E27">
            <v>355200</v>
          </cell>
          <cell r="F27">
            <v>88800</v>
          </cell>
          <cell r="G27">
            <v>7400</v>
          </cell>
          <cell r="H27">
            <v>8500</v>
          </cell>
          <cell r="I27" t="str">
            <v>btl</v>
          </cell>
          <cell r="J27">
            <v>8000</v>
          </cell>
          <cell r="K27" t="str">
            <v>btl</v>
          </cell>
          <cell r="L27">
            <v>7700</v>
          </cell>
          <cell r="M27" t="str">
            <v>btl</v>
          </cell>
          <cell r="T27">
            <v>91000</v>
          </cell>
          <cell r="U27">
            <v>12</v>
          </cell>
          <cell r="V27" t="str">
            <v>lsn</v>
          </cell>
          <cell r="W27">
            <v>7550</v>
          </cell>
          <cell r="X27" t="str">
            <v>btl</v>
          </cell>
          <cell r="Y27">
            <v>7583.333333333333</v>
          </cell>
          <cell r="Z27" t="str">
            <v>btl</v>
          </cell>
          <cell r="AA27">
            <v>358000</v>
          </cell>
          <cell r="AB27" t="str">
            <v>dos</v>
          </cell>
        </row>
        <row r="28">
          <cell r="A28" t="str">
            <v>BANGO600</v>
          </cell>
          <cell r="B28" t="str">
            <v>Bango Kcp. Manis reff 600 ml</v>
          </cell>
          <cell r="C28">
            <v>12</v>
          </cell>
          <cell r="D28" t="str">
            <v>pcs</v>
          </cell>
          <cell r="E28">
            <v>258300</v>
          </cell>
          <cell r="G28">
            <v>21525</v>
          </cell>
          <cell r="H28">
            <v>23000</v>
          </cell>
          <cell r="I28" t="str">
            <v>pc</v>
          </cell>
          <cell r="J28">
            <v>22500</v>
          </cell>
          <cell r="K28" t="str">
            <v>pc</v>
          </cell>
          <cell r="L28">
            <v>22000</v>
          </cell>
          <cell r="M28" t="str">
            <v>pc</v>
          </cell>
        </row>
        <row r="29">
          <cell r="A29" t="str">
            <v>BANGO275</v>
          </cell>
          <cell r="B29" t="str">
            <v>Bango Kcp. Manis T 275 ml</v>
          </cell>
          <cell r="C29">
            <v>24</v>
          </cell>
          <cell r="D29" t="str">
            <v>btl</v>
          </cell>
          <cell r="E29">
            <v>421200</v>
          </cell>
          <cell r="F29">
            <v>210600</v>
          </cell>
          <cell r="G29">
            <v>17550</v>
          </cell>
          <cell r="H29">
            <v>18500</v>
          </cell>
          <cell r="I29" t="str">
            <v>btl</v>
          </cell>
          <cell r="J29">
            <v>18000</v>
          </cell>
          <cell r="K29" t="str">
            <v>btl</v>
          </cell>
          <cell r="L29">
            <v>17900</v>
          </cell>
          <cell r="M29" t="str">
            <v>btl</v>
          </cell>
          <cell r="T29">
            <v>213000</v>
          </cell>
          <cell r="U29">
            <v>12</v>
          </cell>
          <cell r="V29" t="str">
            <v>lsn</v>
          </cell>
          <cell r="X29" t="str">
            <v>btl</v>
          </cell>
          <cell r="Y29">
            <v>17800</v>
          </cell>
          <cell r="Z29" t="str">
            <v>btl</v>
          </cell>
        </row>
        <row r="30">
          <cell r="A30" t="str">
            <v>BATITA1000</v>
          </cell>
          <cell r="B30" t="str">
            <v>BATITA 1000 GR</v>
          </cell>
          <cell r="C30">
            <v>12</v>
          </cell>
          <cell r="D30" t="str">
            <v>ktk</v>
          </cell>
          <cell r="E30">
            <v>965660</v>
          </cell>
          <cell r="G30">
            <v>80471.666666666672</v>
          </cell>
          <cell r="H30">
            <v>83000</v>
          </cell>
          <cell r="I30" t="str">
            <v>ktk</v>
          </cell>
          <cell r="J30">
            <v>82500</v>
          </cell>
          <cell r="K30" t="str">
            <v>ktk</v>
          </cell>
          <cell r="L30">
            <v>82000</v>
          </cell>
          <cell r="M30" t="str">
            <v>ktk</v>
          </cell>
        </row>
        <row r="31">
          <cell r="A31" t="str">
            <v>BATITA300</v>
          </cell>
          <cell r="B31" t="str">
            <v>BATITA 300 GR</v>
          </cell>
          <cell r="C31">
            <v>24</v>
          </cell>
          <cell r="D31" t="str">
            <v>ktk</v>
          </cell>
          <cell r="E31">
            <v>584150</v>
          </cell>
          <cell r="G31">
            <v>24339.583333333332</v>
          </cell>
        </row>
        <row r="32">
          <cell r="A32" t="str">
            <v>BATITA400</v>
          </cell>
          <cell r="B32" t="str">
            <v>BATITA 400 GR</v>
          </cell>
          <cell r="C32">
            <v>24</v>
          </cell>
          <cell r="D32" t="str">
            <v>ktk</v>
          </cell>
          <cell r="E32">
            <v>744906</v>
          </cell>
          <cell r="G32">
            <v>31037.75</v>
          </cell>
          <cell r="H32">
            <v>34000</v>
          </cell>
          <cell r="I32" t="str">
            <v>ktk</v>
          </cell>
          <cell r="J32">
            <v>34000</v>
          </cell>
          <cell r="K32" t="str">
            <v>ktk</v>
          </cell>
          <cell r="L32">
            <v>34000</v>
          </cell>
          <cell r="M32" t="str">
            <v>ktk</v>
          </cell>
        </row>
        <row r="33">
          <cell r="A33" t="str">
            <v>BATRAIA2</v>
          </cell>
          <cell r="B33" t="str">
            <v>Batrai PANASONIC A2 UM-3U</v>
          </cell>
          <cell r="C33">
            <v>24</v>
          </cell>
          <cell r="D33" t="str">
            <v>ktk</v>
          </cell>
          <cell r="E33">
            <v>44400</v>
          </cell>
          <cell r="F33">
            <v>22200</v>
          </cell>
          <cell r="G33">
            <v>1850</v>
          </cell>
          <cell r="H33">
            <v>2500</v>
          </cell>
          <cell r="I33" t="str">
            <v>pc</v>
          </cell>
          <cell r="J33">
            <v>2500</v>
          </cell>
          <cell r="K33" t="str">
            <v>pc</v>
          </cell>
          <cell r="L33">
            <v>2500</v>
          </cell>
          <cell r="M33" t="str">
            <v>pc</v>
          </cell>
        </row>
        <row r="34">
          <cell r="A34" t="str">
            <v>BATRAIA3</v>
          </cell>
          <cell r="B34" t="str">
            <v>Batrai PANASONIC A3 UM4N</v>
          </cell>
          <cell r="C34">
            <v>24</v>
          </cell>
          <cell r="D34" t="str">
            <v>ktk</v>
          </cell>
          <cell r="E34">
            <v>46200</v>
          </cell>
          <cell r="F34">
            <v>23100</v>
          </cell>
          <cell r="G34">
            <v>1925</v>
          </cell>
          <cell r="H34">
            <v>2500</v>
          </cell>
          <cell r="I34" t="str">
            <v>pc</v>
          </cell>
          <cell r="J34">
            <v>2500</v>
          </cell>
          <cell r="K34" t="str">
            <v>pc</v>
          </cell>
          <cell r="L34">
            <v>2500</v>
          </cell>
          <cell r="M34" t="str">
            <v>pc</v>
          </cell>
        </row>
        <row r="35">
          <cell r="A35" t="str">
            <v>ALKALINE</v>
          </cell>
          <cell r="B35" t="str">
            <v>Batrai ALKALINE</v>
          </cell>
          <cell r="C35">
            <v>6</v>
          </cell>
          <cell r="D35" t="str">
            <v>pcs</v>
          </cell>
          <cell r="E35">
            <v>51000</v>
          </cell>
          <cell r="F35">
            <v>102000</v>
          </cell>
          <cell r="G35">
            <v>8500</v>
          </cell>
          <cell r="H35">
            <v>10000</v>
          </cell>
          <cell r="I35" t="str">
            <v>pc</v>
          </cell>
          <cell r="J35">
            <v>10000</v>
          </cell>
          <cell r="K35" t="str">
            <v>pc</v>
          </cell>
          <cell r="L35">
            <v>10000</v>
          </cell>
          <cell r="M35" t="str">
            <v>pc</v>
          </cell>
          <cell r="X35" t="str">
            <v>pc</v>
          </cell>
          <cell r="Y35">
            <v>2300</v>
          </cell>
          <cell r="Z35" t="str">
            <v>pc</v>
          </cell>
        </row>
        <row r="36">
          <cell r="A36" t="str">
            <v>BAYCLIN1</v>
          </cell>
          <cell r="B36" t="str">
            <v>Bayclin 1 Ltr</v>
          </cell>
          <cell r="C36">
            <v>12</v>
          </cell>
          <cell r="D36" t="str">
            <v>dos</v>
          </cell>
          <cell r="E36">
            <v>118000</v>
          </cell>
          <cell r="G36">
            <v>9833.3333333333339</v>
          </cell>
        </row>
        <row r="37">
          <cell r="A37" t="str">
            <v>BAYCLIN100</v>
          </cell>
          <cell r="B37" t="str">
            <v>Bayclin 100</v>
          </cell>
          <cell r="C37">
            <v>12</v>
          </cell>
          <cell r="D37" t="str">
            <v>dos</v>
          </cell>
          <cell r="E37">
            <v>27125</v>
          </cell>
          <cell r="F37">
            <v>217000</v>
          </cell>
          <cell r="G37">
            <v>2260.4166666666665</v>
          </cell>
          <cell r="H37">
            <v>3500</v>
          </cell>
          <cell r="I37" t="str">
            <v>btl</v>
          </cell>
          <cell r="J37">
            <v>3000</v>
          </cell>
          <cell r="K37" t="str">
            <v>btl</v>
          </cell>
          <cell r="L37">
            <v>2700</v>
          </cell>
          <cell r="M37" t="str">
            <v>btl</v>
          </cell>
          <cell r="T37">
            <v>30000</v>
          </cell>
          <cell r="U37">
            <v>12</v>
          </cell>
          <cell r="V37" t="str">
            <v>lsn</v>
          </cell>
          <cell r="W37">
            <v>2400</v>
          </cell>
          <cell r="X37" t="str">
            <v>btl</v>
          </cell>
          <cell r="Y37">
            <v>2500</v>
          </cell>
          <cell r="Z37" t="str">
            <v>pc</v>
          </cell>
        </row>
        <row r="38">
          <cell r="A38" t="str">
            <v>BAYCLIN200</v>
          </cell>
          <cell r="B38" t="str">
            <v>Bayclin 200</v>
          </cell>
          <cell r="C38">
            <v>12</v>
          </cell>
          <cell r="D38" t="str">
            <v>dos</v>
          </cell>
          <cell r="E38">
            <v>40950</v>
          </cell>
          <cell r="F38">
            <v>163800</v>
          </cell>
          <cell r="G38">
            <v>3412.5</v>
          </cell>
          <cell r="H38">
            <v>4500</v>
          </cell>
          <cell r="I38" t="str">
            <v>btl</v>
          </cell>
          <cell r="J38">
            <v>4100</v>
          </cell>
          <cell r="K38" t="str">
            <v>btl</v>
          </cell>
          <cell r="L38">
            <v>3800</v>
          </cell>
          <cell r="M38" t="str">
            <v>btl</v>
          </cell>
          <cell r="T38">
            <v>44000</v>
          </cell>
          <cell r="U38">
            <v>12</v>
          </cell>
          <cell r="V38" t="str">
            <v>lsn</v>
          </cell>
          <cell r="W38">
            <v>3600</v>
          </cell>
          <cell r="X38" t="str">
            <v>btl</v>
          </cell>
          <cell r="Y38">
            <v>3666.6666666666665</v>
          </cell>
          <cell r="Z38" t="str">
            <v>btl</v>
          </cell>
        </row>
        <row r="39">
          <cell r="A39" t="str">
            <v>BAYCLIN500</v>
          </cell>
          <cell r="B39" t="str">
            <v>Bayclin 500</v>
          </cell>
          <cell r="C39">
            <v>12</v>
          </cell>
          <cell r="D39" t="str">
            <v>dos</v>
          </cell>
          <cell r="E39">
            <v>80000</v>
          </cell>
          <cell r="G39">
            <v>6666.666666666667</v>
          </cell>
          <cell r="H39">
            <v>7500</v>
          </cell>
          <cell r="I39" t="str">
            <v>btl</v>
          </cell>
          <cell r="J39">
            <v>7300</v>
          </cell>
          <cell r="K39" t="str">
            <v>btl</v>
          </cell>
          <cell r="L39">
            <v>7000</v>
          </cell>
          <cell r="M39" t="str">
            <v>btl</v>
          </cell>
          <cell r="W39">
            <v>6800</v>
          </cell>
          <cell r="X39" t="str">
            <v>btl</v>
          </cell>
          <cell r="Y39">
            <v>6875</v>
          </cell>
          <cell r="Z39" t="str">
            <v>btl</v>
          </cell>
          <cell r="AA39">
            <v>82500</v>
          </cell>
          <cell r="AB39" t="str">
            <v>dos</v>
          </cell>
        </row>
        <row r="40">
          <cell r="A40" t="str">
            <v>BAYGOND</v>
          </cell>
          <cell r="B40" t="str">
            <v>Baygon Bakar Jumbo DBD</v>
          </cell>
          <cell r="C40">
            <v>60</v>
          </cell>
          <cell r="D40" t="str">
            <v>pcs</v>
          </cell>
          <cell r="E40">
            <v>186000</v>
          </cell>
          <cell r="F40">
            <v>37200</v>
          </cell>
          <cell r="G40">
            <v>3100</v>
          </cell>
        </row>
        <row r="41">
          <cell r="A41" t="str">
            <v>BAYGONM</v>
          </cell>
          <cell r="B41" t="str">
            <v>Baygon Bakar Jumbo Max</v>
          </cell>
          <cell r="C41">
            <v>60</v>
          </cell>
          <cell r="D41" t="str">
            <v>pcs</v>
          </cell>
          <cell r="E41">
            <v>175000</v>
          </cell>
          <cell r="F41">
            <v>35000</v>
          </cell>
          <cell r="G41">
            <v>2916.6666666666665</v>
          </cell>
          <cell r="H41">
            <v>3500</v>
          </cell>
          <cell r="I41" t="str">
            <v>ktk</v>
          </cell>
          <cell r="J41">
            <v>3500</v>
          </cell>
          <cell r="K41" t="str">
            <v>ktk</v>
          </cell>
          <cell r="L41">
            <v>3200</v>
          </cell>
          <cell r="M41" t="str">
            <v>ktk</v>
          </cell>
          <cell r="T41">
            <v>37500</v>
          </cell>
          <cell r="U41">
            <v>12</v>
          </cell>
          <cell r="V41" t="str">
            <v>lsn</v>
          </cell>
          <cell r="W41">
            <v>3100</v>
          </cell>
          <cell r="X41" t="str">
            <v>ktk</v>
          </cell>
          <cell r="Y41">
            <v>3125</v>
          </cell>
          <cell r="Z41" t="str">
            <v>ktk</v>
          </cell>
        </row>
        <row r="42">
          <cell r="A42" t="str">
            <v>BAYGON275</v>
          </cell>
          <cell r="B42" t="str">
            <v>Baygon Cair 275 ml SPRAY</v>
          </cell>
          <cell r="C42">
            <v>12</v>
          </cell>
          <cell r="D42" t="str">
            <v>pcs</v>
          </cell>
          <cell r="E42">
            <v>191000</v>
          </cell>
          <cell r="F42" t="str">
            <v xml:space="preserve">                                                  </v>
          </cell>
          <cell r="G42">
            <v>15916.666666666666</v>
          </cell>
        </row>
        <row r="43">
          <cell r="A43" t="str">
            <v>BAYGON400</v>
          </cell>
          <cell r="B43" t="str">
            <v>Baygon Cair 400 ml</v>
          </cell>
          <cell r="C43">
            <v>1</v>
          </cell>
          <cell r="D43" t="str">
            <v>pcs</v>
          </cell>
          <cell r="E43">
            <v>17000</v>
          </cell>
          <cell r="F43">
            <v>204000</v>
          </cell>
          <cell r="G43">
            <v>17000</v>
          </cell>
        </row>
        <row r="44">
          <cell r="A44" t="str">
            <v>BAYGON600</v>
          </cell>
          <cell r="B44" t="str">
            <v>Baygon Semprot 600 ml</v>
          </cell>
          <cell r="C44">
            <v>12</v>
          </cell>
          <cell r="D44" t="str">
            <v>pcs</v>
          </cell>
          <cell r="E44">
            <v>342000</v>
          </cell>
          <cell r="F44" t="str">
            <v xml:space="preserve">                                                  </v>
          </cell>
          <cell r="G44">
            <v>28500</v>
          </cell>
          <cell r="H44">
            <v>31000</v>
          </cell>
          <cell r="I44" t="str">
            <v>pcs</v>
          </cell>
          <cell r="J44">
            <v>30000</v>
          </cell>
          <cell r="K44" t="str">
            <v>pcs</v>
          </cell>
          <cell r="L44">
            <v>29500</v>
          </cell>
          <cell r="M44" t="str">
            <v>pcs</v>
          </cell>
          <cell r="T44">
            <v>345000</v>
          </cell>
          <cell r="U44">
            <v>12</v>
          </cell>
          <cell r="V44" t="str">
            <v>lsn</v>
          </cell>
          <cell r="W44">
            <v>28700</v>
          </cell>
          <cell r="X44" t="str">
            <v>pc</v>
          </cell>
          <cell r="Y44">
            <v>28750</v>
          </cell>
          <cell r="Z44" t="str">
            <v>pc</v>
          </cell>
        </row>
        <row r="45">
          <cell r="A45" t="str">
            <v>HEROCYNB</v>
          </cell>
          <cell r="B45" t="str">
            <v>BEDAK HEROCYN</v>
          </cell>
          <cell r="C45">
            <v>6</v>
          </cell>
          <cell r="D45" t="str">
            <v>pcs</v>
          </cell>
          <cell r="E45">
            <v>102000</v>
          </cell>
          <cell r="G45">
            <v>17000</v>
          </cell>
          <cell r="H45">
            <v>18500</v>
          </cell>
          <cell r="I45" t="str">
            <v>pc</v>
          </cell>
          <cell r="J45">
            <v>18500</v>
          </cell>
          <cell r="K45" t="str">
            <v>pc</v>
          </cell>
          <cell r="L45">
            <v>18000</v>
          </cell>
          <cell r="M45" t="str">
            <v>pc</v>
          </cell>
        </row>
        <row r="46">
          <cell r="A46" t="str">
            <v>MYBABY50</v>
          </cell>
          <cell r="B46" t="str">
            <v>Bedak My Baby 50 gr</v>
          </cell>
          <cell r="C46">
            <v>6</v>
          </cell>
          <cell r="D46" t="str">
            <v>pcs</v>
          </cell>
          <cell r="E46">
            <v>21000</v>
          </cell>
          <cell r="G46">
            <v>3500</v>
          </cell>
          <cell r="H46">
            <v>5000</v>
          </cell>
          <cell r="I46" t="str">
            <v>pc</v>
          </cell>
          <cell r="J46">
            <v>5000</v>
          </cell>
          <cell r="K46" t="str">
            <v>pc</v>
          </cell>
          <cell r="L46">
            <v>5000</v>
          </cell>
          <cell r="M46" t="str">
            <v>pc</v>
          </cell>
        </row>
        <row r="47">
          <cell r="A47" t="str">
            <v>MYBABY75</v>
          </cell>
          <cell r="B47" t="str">
            <v>Bedak My Baby 75 gr</v>
          </cell>
          <cell r="C47">
            <v>6</v>
          </cell>
          <cell r="D47" t="str">
            <v>pcs</v>
          </cell>
          <cell r="E47">
            <v>33000</v>
          </cell>
          <cell r="G47">
            <v>5500</v>
          </cell>
          <cell r="H47">
            <v>7500</v>
          </cell>
          <cell r="I47" t="str">
            <v>pc</v>
          </cell>
          <cell r="J47">
            <v>7500</v>
          </cell>
          <cell r="K47" t="str">
            <v>pc</v>
          </cell>
          <cell r="L47">
            <v>7500</v>
          </cell>
          <cell r="M47" t="str">
            <v>pc</v>
          </cell>
        </row>
        <row r="48">
          <cell r="A48" t="str">
            <v>MYBABY100</v>
          </cell>
          <cell r="B48" t="str">
            <v>Bedak My Baby 100 gr</v>
          </cell>
          <cell r="C48">
            <v>6</v>
          </cell>
          <cell r="D48" t="str">
            <v>pcs</v>
          </cell>
          <cell r="E48">
            <v>39600</v>
          </cell>
          <cell r="G48">
            <v>6600</v>
          </cell>
          <cell r="H48">
            <v>8500</v>
          </cell>
          <cell r="I48" t="str">
            <v>pc</v>
          </cell>
          <cell r="J48">
            <v>8500</v>
          </cell>
          <cell r="K48" t="str">
            <v>pc</v>
          </cell>
          <cell r="L48">
            <v>8500</v>
          </cell>
          <cell r="M48" t="str">
            <v>pc</v>
          </cell>
        </row>
        <row r="49">
          <cell r="A49" t="str">
            <v>MYBABY150</v>
          </cell>
          <cell r="B49" t="str">
            <v>Bedak My Baby 150 gr</v>
          </cell>
          <cell r="C49">
            <v>6</v>
          </cell>
          <cell r="D49" t="str">
            <v>pcs</v>
          </cell>
          <cell r="E49">
            <v>57000</v>
          </cell>
          <cell r="G49">
            <v>9500</v>
          </cell>
          <cell r="H49">
            <v>12000</v>
          </cell>
          <cell r="I49" t="str">
            <v>pc</v>
          </cell>
          <cell r="J49">
            <v>11500</v>
          </cell>
          <cell r="K49" t="str">
            <v>pc</v>
          </cell>
          <cell r="L49">
            <v>11500</v>
          </cell>
          <cell r="M49" t="str">
            <v>pc</v>
          </cell>
        </row>
        <row r="50">
          <cell r="A50" t="str">
            <v>MYBABY250</v>
          </cell>
          <cell r="B50" t="str">
            <v>Bedak My Baby 250 gr</v>
          </cell>
          <cell r="C50">
            <v>6</v>
          </cell>
          <cell r="D50" t="str">
            <v>pcs</v>
          </cell>
          <cell r="E50">
            <v>81000</v>
          </cell>
          <cell r="G50">
            <v>13500</v>
          </cell>
          <cell r="H50">
            <v>15000</v>
          </cell>
          <cell r="I50" t="str">
            <v>pc</v>
          </cell>
          <cell r="J50">
            <v>15000</v>
          </cell>
          <cell r="K50" t="str">
            <v>pc</v>
          </cell>
          <cell r="L50">
            <v>15000</v>
          </cell>
          <cell r="M50" t="str">
            <v>pc</v>
          </cell>
        </row>
        <row r="51">
          <cell r="A51" t="str">
            <v>SBABY75</v>
          </cell>
          <cell r="B51" t="str">
            <v>Sabun My Baby 75</v>
          </cell>
          <cell r="C51">
            <v>12</v>
          </cell>
          <cell r="D51" t="str">
            <v>pcs</v>
          </cell>
          <cell r="E51">
            <v>42000</v>
          </cell>
          <cell r="F51">
            <v>42000</v>
          </cell>
          <cell r="G51">
            <v>3500</v>
          </cell>
          <cell r="H51">
            <v>4000</v>
          </cell>
          <cell r="I51" t="str">
            <v>pc</v>
          </cell>
          <cell r="J51">
            <v>4000</v>
          </cell>
          <cell r="K51" t="str">
            <v>pc</v>
          </cell>
          <cell r="L51">
            <v>4000</v>
          </cell>
          <cell r="M51" t="str">
            <v>pc</v>
          </cell>
        </row>
        <row r="52">
          <cell r="A52" t="str">
            <v>BEND120</v>
          </cell>
          <cell r="B52" t="str">
            <v>Bendera Cair 120 ml</v>
          </cell>
          <cell r="C52">
            <v>36</v>
          </cell>
          <cell r="D52" t="str">
            <v>pcs</v>
          </cell>
          <cell r="E52">
            <v>100800</v>
          </cell>
          <cell r="F52">
            <v>33600</v>
          </cell>
          <cell r="G52">
            <v>2800</v>
          </cell>
          <cell r="H52">
            <v>4000</v>
          </cell>
          <cell r="I52" t="str">
            <v>pc</v>
          </cell>
          <cell r="J52">
            <v>3800</v>
          </cell>
          <cell r="K52" t="str">
            <v>pc</v>
          </cell>
          <cell r="L52">
            <v>3100</v>
          </cell>
          <cell r="M52" t="str">
            <v>pc</v>
          </cell>
          <cell r="T52">
            <v>36000</v>
          </cell>
          <cell r="U52">
            <v>12</v>
          </cell>
          <cell r="V52" t="str">
            <v>lsn</v>
          </cell>
          <cell r="W52">
            <v>2900</v>
          </cell>
          <cell r="X52" t="str">
            <v>pc</v>
          </cell>
          <cell r="Y52">
            <v>3000</v>
          </cell>
          <cell r="Z52" t="str">
            <v>pc</v>
          </cell>
          <cell r="AA52">
            <v>103000</v>
          </cell>
          <cell r="AB52" t="str">
            <v>dos</v>
          </cell>
        </row>
        <row r="53">
          <cell r="A53" t="str">
            <v>BENDERA115</v>
          </cell>
          <cell r="B53" t="str">
            <v>Bendera kids 115</v>
          </cell>
          <cell r="C53">
            <v>40</v>
          </cell>
          <cell r="D53" t="str">
            <v>pcs</v>
          </cell>
          <cell r="E53">
            <v>74000</v>
          </cell>
          <cell r="F53">
            <v>22200</v>
          </cell>
          <cell r="G53">
            <v>1850</v>
          </cell>
        </row>
        <row r="54">
          <cell r="A54" t="str">
            <v>BENDCK</v>
          </cell>
          <cell r="B54" t="str">
            <v>Bendera Susu Kental Coklat</v>
          </cell>
          <cell r="C54">
            <v>48</v>
          </cell>
          <cell r="D54" t="str">
            <v>klg</v>
          </cell>
          <cell r="E54">
            <v>416000</v>
          </cell>
          <cell r="F54">
            <v>104000</v>
          </cell>
          <cell r="G54">
            <v>8666.6666666666661</v>
          </cell>
        </row>
        <row r="55">
          <cell r="A55" t="str">
            <v>BENDGL</v>
          </cell>
          <cell r="B55" t="str">
            <v>Bendera Susu Golld</v>
          </cell>
          <cell r="C55">
            <v>48</v>
          </cell>
          <cell r="D55" t="str">
            <v>klg</v>
          </cell>
          <cell r="E55">
            <v>640000</v>
          </cell>
          <cell r="F55">
            <v>160000</v>
          </cell>
          <cell r="G55">
            <v>13333.333333333334</v>
          </cell>
          <cell r="H55">
            <v>15000</v>
          </cell>
          <cell r="I55" t="str">
            <v>pc</v>
          </cell>
          <cell r="J55">
            <v>14500</v>
          </cell>
          <cell r="K55" t="str">
            <v>pc</v>
          </cell>
          <cell r="L55">
            <v>13800</v>
          </cell>
          <cell r="M55" t="str">
            <v>pc</v>
          </cell>
          <cell r="T55">
            <v>163000</v>
          </cell>
          <cell r="U55">
            <v>12</v>
          </cell>
          <cell r="V55" t="str">
            <v>lsn</v>
          </cell>
          <cell r="W55">
            <v>13500</v>
          </cell>
          <cell r="X55" t="str">
            <v>pc</v>
          </cell>
          <cell r="Y55">
            <v>13600</v>
          </cell>
          <cell r="Z55" t="str">
            <v>pc</v>
          </cell>
        </row>
        <row r="56">
          <cell r="A56" t="str">
            <v>BENDBIRU</v>
          </cell>
          <cell r="B56" t="str">
            <v>Bendera Susu Kental Putih biru</v>
          </cell>
          <cell r="C56">
            <v>48</v>
          </cell>
          <cell r="D56" t="str">
            <v>klg</v>
          </cell>
          <cell r="E56">
            <v>452000</v>
          </cell>
          <cell r="F56">
            <v>113000</v>
          </cell>
          <cell r="G56">
            <v>9416.6666666666661</v>
          </cell>
          <cell r="H56">
            <v>10000</v>
          </cell>
          <cell r="I56" t="str">
            <v>pc</v>
          </cell>
          <cell r="J56">
            <v>10000</v>
          </cell>
          <cell r="K56" t="str">
            <v>pc</v>
          </cell>
          <cell r="L56">
            <v>9800</v>
          </cell>
          <cell r="M56" t="str">
            <v>pc</v>
          </cell>
          <cell r="T56">
            <v>116000</v>
          </cell>
          <cell r="U56">
            <v>12</v>
          </cell>
          <cell r="V56" t="str">
            <v>lsn</v>
          </cell>
          <cell r="W56">
            <v>9600</v>
          </cell>
          <cell r="X56" t="str">
            <v>pc</v>
          </cell>
          <cell r="Y56">
            <v>9700</v>
          </cell>
          <cell r="Z56" t="str">
            <v>pc</v>
          </cell>
        </row>
        <row r="57">
          <cell r="A57" t="str">
            <v>BENDP</v>
          </cell>
          <cell r="B57" t="str">
            <v>Bendera Susu Kental Putih PINK KELAPA</v>
          </cell>
          <cell r="C57">
            <v>6</v>
          </cell>
          <cell r="D57" t="str">
            <v>klg</v>
          </cell>
          <cell r="E57">
            <v>69000</v>
          </cell>
          <cell r="G57">
            <v>11500</v>
          </cell>
          <cell r="H57">
            <v>13000</v>
          </cell>
          <cell r="I57" t="str">
            <v>pc</v>
          </cell>
          <cell r="J57">
            <v>12500</v>
          </cell>
          <cell r="K57" t="str">
            <v>pc</v>
          </cell>
          <cell r="L57">
            <v>12300</v>
          </cell>
          <cell r="M57" t="str">
            <v>pc</v>
          </cell>
        </row>
        <row r="58">
          <cell r="A58" t="str">
            <v>DIXIT</v>
          </cell>
          <cell r="B58" t="str">
            <v>Cuka Dixi TANGGUNG</v>
          </cell>
          <cell r="C58">
            <v>6</v>
          </cell>
          <cell r="D58" t="str">
            <v>klg</v>
          </cell>
          <cell r="E58">
            <v>25000</v>
          </cell>
          <cell r="F58">
            <v>50000</v>
          </cell>
          <cell r="G58">
            <v>4166.666666666667</v>
          </cell>
          <cell r="H58">
            <v>5000</v>
          </cell>
          <cell r="I58" t="str">
            <v>pc</v>
          </cell>
          <cell r="J58">
            <v>4700</v>
          </cell>
          <cell r="K58" t="str">
            <v>pc</v>
          </cell>
          <cell r="L58">
            <v>4400</v>
          </cell>
          <cell r="M58" t="str">
            <v>pc</v>
          </cell>
          <cell r="T58">
            <v>52500</v>
          </cell>
          <cell r="U58">
            <v>12</v>
          </cell>
          <cell r="V58" t="str">
            <v>lsn</v>
          </cell>
          <cell r="W58">
            <v>4350</v>
          </cell>
          <cell r="X58" t="str">
            <v>pc</v>
          </cell>
          <cell r="Y58">
            <v>4375</v>
          </cell>
          <cell r="Z58" t="str">
            <v>pc</v>
          </cell>
        </row>
        <row r="59">
          <cell r="A59" t="str">
            <v>DIXIK</v>
          </cell>
          <cell r="B59" t="str">
            <v>Cuka Dixi KECIL</v>
          </cell>
          <cell r="C59">
            <v>6</v>
          </cell>
          <cell r="D59" t="str">
            <v>klg</v>
          </cell>
          <cell r="E59">
            <v>20000</v>
          </cell>
          <cell r="F59">
            <v>40000</v>
          </cell>
          <cell r="G59">
            <v>3333.3333333333335</v>
          </cell>
          <cell r="H59">
            <v>4500</v>
          </cell>
          <cell r="I59" t="str">
            <v>pc</v>
          </cell>
          <cell r="J59">
            <v>4000</v>
          </cell>
          <cell r="K59" t="str">
            <v>pc</v>
          </cell>
          <cell r="L59">
            <v>3700</v>
          </cell>
          <cell r="M59" t="str">
            <v>pc</v>
          </cell>
          <cell r="T59">
            <v>42500</v>
          </cell>
          <cell r="U59">
            <v>12</v>
          </cell>
          <cell r="V59" t="str">
            <v>lsn</v>
          </cell>
          <cell r="W59">
            <v>3500</v>
          </cell>
          <cell r="X59" t="str">
            <v>pc</v>
          </cell>
          <cell r="Y59">
            <v>3541.6666666666665</v>
          </cell>
          <cell r="Z59" t="str">
            <v>pc</v>
          </cell>
        </row>
        <row r="60">
          <cell r="A60" t="str">
            <v>BEND1</v>
          </cell>
          <cell r="B60" t="str">
            <v>Bendera/Indomilk Susu Kental Putih Rtg</v>
          </cell>
          <cell r="C60">
            <v>6</v>
          </cell>
          <cell r="D60" t="str">
            <v>pcs</v>
          </cell>
          <cell r="E60">
            <v>6700</v>
          </cell>
          <cell r="F60">
            <v>134000</v>
          </cell>
          <cell r="G60">
            <v>1116.6666666666667</v>
          </cell>
        </row>
        <row r="61">
          <cell r="A61" t="str">
            <v>CARE</v>
          </cell>
          <cell r="B61" t="str">
            <v>FRES CARE</v>
          </cell>
          <cell r="C61">
            <v>12</v>
          </cell>
          <cell r="D61" t="str">
            <v>pcs</v>
          </cell>
          <cell r="E61">
            <v>130000</v>
          </cell>
          <cell r="G61">
            <v>10833.333333333334</v>
          </cell>
          <cell r="H61">
            <v>13000</v>
          </cell>
          <cell r="I61" t="str">
            <v>pc</v>
          </cell>
          <cell r="J61">
            <v>13000</v>
          </cell>
          <cell r="K61" t="str">
            <v>pc</v>
          </cell>
          <cell r="L61">
            <v>12500</v>
          </cell>
          <cell r="M61" t="str">
            <v>pc</v>
          </cell>
        </row>
        <row r="62">
          <cell r="A62" t="str">
            <v>TELON</v>
          </cell>
          <cell r="B62" t="str">
            <v>Minyak Telon Lang 60 ml</v>
          </cell>
          <cell r="C62">
            <v>6</v>
          </cell>
          <cell r="D62" t="str">
            <v>pcs</v>
          </cell>
          <cell r="E62">
            <v>85800</v>
          </cell>
          <cell r="G62">
            <v>14300</v>
          </cell>
          <cell r="H62">
            <v>16500</v>
          </cell>
          <cell r="I62" t="str">
            <v>pc</v>
          </cell>
          <cell r="J62">
            <v>16500</v>
          </cell>
          <cell r="K62" t="str">
            <v>pc</v>
          </cell>
          <cell r="L62">
            <v>16000</v>
          </cell>
          <cell r="M62" t="str">
            <v>pc</v>
          </cell>
        </row>
        <row r="63">
          <cell r="A63" t="str">
            <v>MKPL120</v>
          </cell>
          <cell r="B63" t="str">
            <v>Minyak Kayu Putih Lang120 ml</v>
          </cell>
          <cell r="C63">
            <v>6</v>
          </cell>
          <cell r="D63" t="str">
            <v>pcs</v>
          </cell>
          <cell r="E63">
            <v>220602</v>
          </cell>
          <cell r="G63">
            <v>36767</v>
          </cell>
          <cell r="H63">
            <v>39000</v>
          </cell>
          <cell r="I63" t="str">
            <v>pc</v>
          </cell>
          <cell r="J63">
            <v>39000</v>
          </cell>
          <cell r="K63" t="str">
            <v>pc</v>
          </cell>
          <cell r="L63">
            <v>38500</v>
          </cell>
          <cell r="M63" t="str">
            <v>pc</v>
          </cell>
        </row>
        <row r="64">
          <cell r="A64" t="str">
            <v>MKPL60</v>
          </cell>
          <cell r="B64" t="str">
            <v>Minyak Kayu Putih Lang 60 ml</v>
          </cell>
          <cell r="C64">
            <v>6</v>
          </cell>
          <cell r="D64" t="str">
            <v>pcs</v>
          </cell>
          <cell r="E64">
            <v>114000</v>
          </cell>
          <cell r="G64">
            <v>19000</v>
          </cell>
          <cell r="H64">
            <v>22500</v>
          </cell>
          <cell r="I64" t="str">
            <v>pc</v>
          </cell>
          <cell r="J64">
            <v>22500</v>
          </cell>
          <cell r="K64" t="str">
            <v>pc</v>
          </cell>
          <cell r="L64">
            <v>18000</v>
          </cell>
          <cell r="M64" t="str">
            <v>pc</v>
          </cell>
        </row>
        <row r="65">
          <cell r="A65" t="str">
            <v>MKPL30</v>
          </cell>
          <cell r="B65" t="str">
            <v>Minyak Kayu Putih Lang 30 ml</v>
          </cell>
          <cell r="C65">
            <v>12</v>
          </cell>
          <cell r="D65" t="str">
            <v>pcs</v>
          </cell>
          <cell r="E65">
            <v>120000</v>
          </cell>
          <cell r="G65">
            <v>10000</v>
          </cell>
          <cell r="H65">
            <v>12500</v>
          </cell>
          <cell r="I65" t="str">
            <v>pc</v>
          </cell>
          <cell r="J65">
            <v>12500</v>
          </cell>
          <cell r="K65" t="str">
            <v>pc</v>
          </cell>
          <cell r="L65">
            <v>9500</v>
          </cell>
          <cell r="M65" t="str">
            <v>pc</v>
          </cell>
        </row>
        <row r="66">
          <cell r="A66" t="str">
            <v>MKPG30</v>
          </cell>
          <cell r="B66" t="str">
            <v>Minyak Kayu Putih Gajah 30 ml</v>
          </cell>
          <cell r="C66">
            <v>6</v>
          </cell>
          <cell r="D66" t="str">
            <v>pcs</v>
          </cell>
          <cell r="E66">
            <v>53700</v>
          </cell>
          <cell r="G66">
            <v>8950</v>
          </cell>
          <cell r="H66">
            <v>12500</v>
          </cell>
          <cell r="I66" t="str">
            <v>pc</v>
          </cell>
          <cell r="J66">
            <v>12500</v>
          </cell>
          <cell r="K66" t="str">
            <v>pc</v>
          </cell>
          <cell r="L66">
            <v>9500</v>
          </cell>
          <cell r="M66" t="str">
            <v>pc</v>
          </cell>
        </row>
        <row r="67">
          <cell r="A67" t="str">
            <v>MKPG60</v>
          </cell>
          <cell r="B67" t="str">
            <v>Minyak Kayu Putih Gajah 60 ml</v>
          </cell>
          <cell r="C67">
            <v>6</v>
          </cell>
          <cell r="D67" t="str">
            <v>pcs</v>
          </cell>
          <cell r="E67">
            <v>101250</v>
          </cell>
          <cell r="G67">
            <v>16875</v>
          </cell>
          <cell r="H67">
            <v>18500</v>
          </cell>
          <cell r="I67" t="str">
            <v>pc</v>
          </cell>
          <cell r="J67">
            <v>18500</v>
          </cell>
          <cell r="K67" t="str">
            <v>pc</v>
          </cell>
          <cell r="L67">
            <v>18000</v>
          </cell>
          <cell r="M67" t="str">
            <v>pc</v>
          </cell>
        </row>
        <row r="68">
          <cell r="A68" t="str">
            <v>MKPG120</v>
          </cell>
          <cell r="B68" t="str">
            <v>Minyak Kayu Putih Gajah 120 ml</v>
          </cell>
          <cell r="C68">
            <v>6</v>
          </cell>
          <cell r="D68" t="str">
            <v>pcs</v>
          </cell>
          <cell r="E68">
            <v>192000</v>
          </cell>
          <cell r="G68">
            <v>32000</v>
          </cell>
          <cell r="H68">
            <v>34000</v>
          </cell>
          <cell r="I68" t="str">
            <v>pc</v>
          </cell>
          <cell r="J68">
            <v>33500</v>
          </cell>
          <cell r="K68" t="str">
            <v>pc</v>
          </cell>
          <cell r="L68">
            <v>33000</v>
          </cell>
          <cell r="M68" t="str">
            <v>pc</v>
          </cell>
        </row>
        <row r="69">
          <cell r="A69" t="str">
            <v>KETANG</v>
          </cell>
          <cell r="B69" t="str">
            <v xml:space="preserve">Beras Ketan Gajah </v>
          </cell>
          <cell r="C69">
            <v>24.5</v>
          </cell>
          <cell r="D69" t="str">
            <v>kg</v>
          </cell>
          <cell r="E69">
            <v>353000</v>
          </cell>
          <cell r="G69">
            <v>14408.163265306122</v>
          </cell>
          <cell r="H69">
            <v>17000</v>
          </cell>
          <cell r="I69" t="str">
            <v>kg</v>
          </cell>
          <cell r="J69">
            <v>17000</v>
          </cell>
          <cell r="K69" t="str">
            <v>kg</v>
          </cell>
          <cell r="L69">
            <v>17000</v>
          </cell>
          <cell r="M69" t="str">
            <v>Kgs</v>
          </cell>
        </row>
        <row r="70">
          <cell r="A70" t="str">
            <v>KETANM</v>
          </cell>
          <cell r="B70" t="str">
            <v>Beras Ketan Mawar</v>
          </cell>
          <cell r="C70">
            <v>24.5</v>
          </cell>
          <cell r="D70" t="str">
            <v>kg</v>
          </cell>
          <cell r="E70">
            <v>400000</v>
          </cell>
          <cell r="G70">
            <v>16326.530612244898</v>
          </cell>
        </row>
        <row r="71">
          <cell r="A71" t="str">
            <v>KETUPAT25s</v>
          </cell>
          <cell r="B71" t="str">
            <v>Beras Ketupat 25 Kg Special bds</v>
          </cell>
          <cell r="C71">
            <v>24.5</v>
          </cell>
          <cell r="D71" t="str">
            <v>kg</v>
          </cell>
          <cell r="E71">
            <v>240000</v>
          </cell>
          <cell r="G71">
            <v>9795.9183673469379</v>
          </cell>
          <cell r="H71">
            <v>10000</v>
          </cell>
          <cell r="I71" t="str">
            <v>KG</v>
          </cell>
          <cell r="J71">
            <v>10000</v>
          </cell>
          <cell r="K71" t="str">
            <v>KG</v>
          </cell>
          <cell r="L71">
            <v>10000</v>
          </cell>
          <cell r="M71" t="str">
            <v>KG</v>
          </cell>
          <cell r="AA71">
            <v>245000</v>
          </cell>
          <cell r="AB71" t="str">
            <v>sak</v>
          </cell>
        </row>
        <row r="72">
          <cell r="A72" t="str">
            <v>SEJATI25</v>
          </cell>
          <cell r="B72" t="str">
            <v>Beras SEJATI  25 kg</v>
          </cell>
          <cell r="C72">
            <v>24.5</v>
          </cell>
          <cell r="D72" t="str">
            <v>kg</v>
          </cell>
          <cell r="E72">
            <v>262500</v>
          </cell>
          <cell r="G72">
            <v>10714.285714285714</v>
          </cell>
          <cell r="H72">
            <v>11500</v>
          </cell>
          <cell r="I72" t="str">
            <v>KG</v>
          </cell>
          <cell r="J72">
            <v>11500</v>
          </cell>
          <cell r="K72" t="str">
            <v>KG</v>
          </cell>
          <cell r="L72">
            <v>11500</v>
          </cell>
          <cell r="M72" t="str">
            <v>KG</v>
          </cell>
          <cell r="AA72">
            <v>268000</v>
          </cell>
          <cell r="AB72" t="str">
            <v>SAK</v>
          </cell>
        </row>
        <row r="73">
          <cell r="A73" t="str">
            <v>SAWO25</v>
          </cell>
          <cell r="B73" t="str">
            <v>Beras SAWO 25 kg</v>
          </cell>
          <cell r="C73">
            <v>24.5</v>
          </cell>
          <cell r="D73" t="str">
            <v>kg</v>
          </cell>
          <cell r="E73">
            <v>252500</v>
          </cell>
          <cell r="G73">
            <v>10306.122448979591</v>
          </cell>
          <cell r="H73">
            <v>11000</v>
          </cell>
          <cell r="I73" t="str">
            <v>KG</v>
          </cell>
          <cell r="J73">
            <v>11000</v>
          </cell>
          <cell r="K73" t="str">
            <v>KG</v>
          </cell>
          <cell r="L73">
            <v>11000</v>
          </cell>
          <cell r="M73" t="str">
            <v>KG</v>
          </cell>
          <cell r="AA73">
            <v>258000</v>
          </cell>
          <cell r="AB73" t="str">
            <v>SAK</v>
          </cell>
        </row>
        <row r="74">
          <cell r="A74" t="str">
            <v>KURMA25</v>
          </cell>
          <cell r="B74" t="str">
            <v>Beras KURMA 25 KG</v>
          </cell>
          <cell r="C74">
            <v>24.5</v>
          </cell>
          <cell r="D74" t="str">
            <v>kg</v>
          </cell>
          <cell r="E74">
            <v>250000</v>
          </cell>
          <cell r="G74">
            <v>10204.081632653062</v>
          </cell>
          <cell r="H74">
            <v>11000</v>
          </cell>
          <cell r="I74" t="str">
            <v>KG</v>
          </cell>
          <cell r="J74">
            <v>11000</v>
          </cell>
          <cell r="K74" t="str">
            <v>KG</v>
          </cell>
          <cell r="L74">
            <v>11000</v>
          </cell>
          <cell r="M74" t="str">
            <v>KG</v>
          </cell>
          <cell r="AA74">
            <v>255000</v>
          </cell>
          <cell r="AB74" t="str">
            <v>sak</v>
          </cell>
        </row>
        <row r="75">
          <cell r="A75" t="str">
            <v>BJEMPOL25</v>
          </cell>
          <cell r="B75" t="str">
            <v xml:space="preserve">Beras JEMPOL 25 kg </v>
          </cell>
          <cell r="C75">
            <v>24</v>
          </cell>
          <cell r="D75" t="str">
            <v>kg</v>
          </cell>
          <cell r="E75">
            <v>255000</v>
          </cell>
          <cell r="G75">
            <v>10625</v>
          </cell>
          <cell r="AA75">
            <v>260000</v>
          </cell>
          <cell r="AB75" t="str">
            <v>sak</v>
          </cell>
        </row>
        <row r="76">
          <cell r="A76" t="str">
            <v>BDS25P</v>
          </cell>
          <cell r="B76" t="str">
            <v>Beras Mawar BDS 25 kg PINK</v>
          </cell>
          <cell r="C76">
            <v>24.5</v>
          </cell>
          <cell r="D76" t="str">
            <v>kg</v>
          </cell>
          <cell r="E76">
            <v>238000</v>
          </cell>
          <cell r="G76">
            <v>9714.2857142857138</v>
          </cell>
          <cell r="H76">
            <v>11000</v>
          </cell>
          <cell r="I76" t="str">
            <v>kg</v>
          </cell>
          <cell r="J76">
            <v>11000</v>
          </cell>
          <cell r="K76" t="str">
            <v>kg</v>
          </cell>
          <cell r="L76">
            <v>11000</v>
          </cell>
          <cell r="M76" t="str">
            <v>kg</v>
          </cell>
          <cell r="AA76">
            <v>252000</v>
          </cell>
          <cell r="AB76" t="str">
            <v>sak</v>
          </cell>
        </row>
        <row r="77">
          <cell r="A77" t="str">
            <v>BDS25M</v>
          </cell>
          <cell r="B77" t="str">
            <v>Beras Mawar BDS 25 kg Merah/Hijau</v>
          </cell>
          <cell r="C77">
            <v>24.5</v>
          </cell>
          <cell r="D77" t="str">
            <v>kg</v>
          </cell>
          <cell r="E77">
            <v>228000</v>
          </cell>
          <cell r="G77">
            <v>9306.1224489795914</v>
          </cell>
          <cell r="H77">
            <v>10000</v>
          </cell>
          <cell r="I77" t="str">
            <v>kg</v>
          </cell>
          <cell r="J77">
            <v>10000</v>
          </cell>
          <cell r="K77" t="str">
            <v>kg</v>
          </cell>
          <cell r="L77">
            <v>10000</v>
          </cell>
          <cell r="M77" t="str">
            <v>kg</v>
          </cell>
          <cell r="AA77">
            <v>240000</v>
          </cell>
          <cell r="AB77" t="str">
            <v>sak</v>
          </cell>
        </row>
        <row r="78">
          <cell r="A78" t="str">
            <v>BDS10P</v>
          </cell>
          <cell r="B78" t="str">
            <v>Beras Mawar BDS 10 kg  PINK</v>
          </cell>
          <cell r="C78">
            <v>10</v>
          </cell>
          <cell r="D78" t="str">
            <v>kg</v>
          </cell>
          <cell r="E78">
            <v>103000</v>
          </cell>
          <cell r="G78">
            <v>10300</v>
          </cell>
        </row>
        <row r="79">
          <cell r="A79" t="str">
            <v>BDS25M</v>
          </cell>
          <cell r="B79" t="str">
            <v>Beras Mawar BDS 25 kg  MELATI</v>
          </cell>
          <cell r="C79">
            <v>24</v>
          </cell>
          <cell r="D79" t="str">
            <v>kg</v>
          </cell>
          <cell r="E79">
            <v>265000</v>
          </cell>
          <cell r="G79">
            <v>11041.666666666666</v>
          </cell>
        </row>
        <row r="80">
          <cell r="A80" t="str">
            <v>BMAWARS</v>
          </cell>
          <cell r="B80" t="str">
            <v>Beras Mawar Merah Sulawesi</v>
          </cell>
          <cell r="C80">
            <v>24.5</v>
          </cell>
          <cell r="D80" t="str">
            <v>kg</v>
          </cell>
          <cell r="E80">
            <v>220000</v>
          </cell>
          <cell r="G80">
            <v>8979.5918367346931</v>
          </cell>
          <cell r="H80">
            <v>10000</v>
          </cell>
          <cell r="I80" t="str">
            <v>kg</v>
          </cell>
          <cell r="J80">
            <v>10000</v>
          </cell>
          <cell r="K80" t="str">
            <v>kg</v>
          </cell>
          <cell r="L80">
            <v>10000</v>
          </cell>
          <cell r="M80" t="str">
            <v>kg</v>
          </cell>
          <cell r="AA80">
            <v>227000</v>
          </cell>
          <cell r="AB80" t="str">
            <v>sak</v>
          </cell>
        </row>
        <row r="81">
          <cell r="A81" t="str">
            <v>BDS10M</v>
          </cell>
          <cell r="B81" t="str">
            <v>Beras Mawar BDS 10 kg  MELATI</v>
          </cell>
          <cell r="C81">
            <v>10</v>
          </cell>
          <cell r="D81" t="str">
            <v>kg</v>
          </cell>
          <cell r="E81">
            <v>100000</v>
          </cell>
          <cell r="G81">
            <v>10000</v>
          </cell>
          <cell r="AB81" t="str">
            <v>sak</v>
          </cell>
        </row>
        <row r="82">
          <cell r="A82" t="str">
            <v>BAGRI25</v>
          </cell>
          <cell r="B82" t="str">
            <v>Beras PUTRI AGRI 25 kg</v>
          </cell>
          <cell r="C82">
            <v>24</v>
          </cell>
          <cell r="D82" t="str">
            <v>kg</v>
          </cell>
          <cell r="E82">
            <v>230000</v>
          </cell>
          <cell r="G82">
            <v>9583.3333333333339</v>
          </cell>
        </row>
        <row r="83">
          <cell r="A83" t="str">
            <v>BDUYUNG25</v>
          </cell>
          <cell r="B83" t="str">
            <v>Beras PUTRI DUYUNG 25 kg</v>
          </cell>
          <cell r="C83">
            <v>24</v>
          </cell>
          <cell r="D83" t="str">
            <v>kg</v>
          </cell>
          <cell r="E83">
            <v>250000</v>
          </cell>
          <cell r="G83">
            <v>10416.666666666666</v>
          </cell>
        </row>
        <row r="84">
          <cell r="A84" t="str">
            <v>BAGRI10</v>
          </cell>
          <cell r="B84" t="str">
            <v>Beras PUTRI AGRI 10 kg</v>
          </cell>
          <cell r="C84">
            <v>10</v>
          </cell>
          <cell r="D84" t="str">
            <v>kg</v>
          </cell>
          <cell r="E84">
            <v>104000</v>
          </cell>
          <cell r="G84">
            <v>10400</v>
          </cell>
        </row>
        <row r="85">
          <cell r="A85" t="str">
            <v>BDS5</v>
          </cell>
          <cell r="B85" t="str">
            <v>Beras Mawar BDS 5 kg</v>
          </cell>
          <cell r="C85">
            <v>5</v>
          </cell>
          <cell r="D85" t="str">
            <v>kg</v>
          </cell>
          <cell r="E85">
            <v>50000</v>
          </cell>
          <cell r="G85">
            <v>10000</v>
          </cell>
        </row>
        <row r="86">
          <cell r="A86" t="str">
            <v>BDS25L</v>
          </cell>
          <cell r="B86" t="str">
            <v>Beras BDS Raja Lele 25 KG</v>
          </cell>
          <cell r="C86">
            <v>10</v>
          </cell>
          <cell r="D86" t="str">
            <v>kg</v>
          </cell>
          <cell r="E86">
            <v>238000</v>
          </cell>
          <cell r="G86">
            <v>23800</v>
          </cell>
        </row>
        <row r="87">
          <cell r="A87" t="str">
            <v>RAGI</v>
          </cell>
          <cell r="B87" t="str">
            <v>RAGI TEMPE</v>
          </cell>
          <cell r="C87">
            <v>12</v>
          </cell>
          <cell r="D87" t="str">
            <v>pcs</v>
          </cell>
          <cell r="E87">
            <v>216000</v>
          </cell>
          <cell r="F87">
            <v>18000</v>
          </cell>
          <cell r="G87">
            <v>18000</v>
          </cell>
          <cell r="H87">
            <v>19500</v>
          </cell>
          <cell r="I87" t="str">
            <v>pc</v>
          </cell>
          <cell r="J87">
            <v>19500</v>
          </cell>
          <cell r="K87" t="str">
            <v>pc</v>
          </cell>
          <cell r="L87">
            <v>19000</v>
          </cell>
          <cell r="M87" t="str">
            <v>pc</v>
          </cell>
        </row>
        <row r="88">
          <cell r="A88" t="str">
            <v>HAN</v>
          </cell>
          <cell r="B88" t="str">
            <v>Bibit Roti HAN</v>
          </cell>
          <cell r="C88">
            <v>4</v>
          </cell>
          <cell r="D88" t="str">
            <v>ktk</v>
          </cell>
          <cell r="E88">
            <v>13000</v>
          </cell>
          <cell r="F88">
            <v>78000</v>
          </cell>
          <cell r="G88">
            <v>3250</v>
          </cell>
          <cell r="H88">
            <v>4000</v>
          </cell>
          <cell r="I88" t="str">
            <v>pc</v>
          </cell>
          <cell r="J88">
            <v>4000</v>
          </cell>
          <cell r="K88" t="str">
            <v>pc</v>
          </cell>
          <cell r="L88">
            <v>4000</v>
          </cell>
          <cell r="M88" t="str">
            <v>pc</v>
          </cell>
          <cell r="Q88">
            <v>15000</v>
          </cell>
          <cell r="R88">
            <v>4</v>
          </cell>
          <cell r="S88" t="str">
            <v>ktk</v>
          </cell>
          <cell r="W88">
            <v>3700</v>
          </cell>
          <cell r="X88" t="str">
            <v>pc</v>
          </cell>
          <cell r="Y88">
            <v>3750</v>
          </cell>
          <cell r="Z88" t="str">
            <v>pc</v>
          </cell>
        </row>
        <row r="89">
          <cell r="A89" t="str">
            <v>FITZ</v>
          </cell>
          <cell r="B89" t="str">
            <v>FITZ  TOPLES ISI 50</v>
          </cell>
          <cell r="C89">
            <v>50</v>
          </cell>
          <cell r="D89" t="str">
            <v>pak</v>
          </cell>
          <cell r="E89">
            <v>20000</v>
          </cell>
          <cell r="F89">
            <v>120000</v>
          </cell>
          <cell r="G89">
            <v>400</v>
          </cell>
          <cell r="Q89">
            <v>22500</v>
          </cell>
          <cell r="R89">
            <v>10</v>
          </cell>
          <cell r="S89" t="str">
            <v>tpls</v>
          </cell>
          <cell r="AA89">
            <v>116000</v>
          </cell>
          <cell r="AB89" t="str">
            <v>dos</v>
          </cell>
        </row>
        <row r="90">
          <cell r="A90" t="str">
            <v>KUNCI2</v>
          </cell>
          <cell r="B90" t="str">
            <v>KUNCI MAS 2 ltr</v>
          </cell>
          <cell r="C90">
            <v>6</v>
          </cell>
          <cell r="D90" t="str">
            <v>dos</v>
          </cell>
          <cell r="E90">
            <v>234376</v>
          </cell>
          <cell r="G90">
            <v>39062.666666666664</v>
          </cell>
          <cell r="H90">
            <v>42000</v>
          </cell>
          <cell r="I90" t="str">
            <v>pc</v>
          </cell>
          <cell r="J90">
            <v>42000</v>
          </cell>
          <cell r="K90" t="str">
            <v>pc</v>
          </cell>
        </row>
        <row r="91">
          <cell r="A91" t="str">
            <v>BIMOLI1B</v>
          </cell>
          <cell r="B91" t="str">
            <v>Bimoli Biasa 1 ltr btl</v>
          </cell>
          <cell r="C91">
            <v>12</v>
          </cell>
          <cell r="D91" t="str">
            <v>dos</v>
          </cell>
          <cell r="E91">
            <v>165000</v>
          </cell>
          <cell r="G91">
            <v>13750</v>
          </cell>
        </row>
        <row r="92">
          <cell r="A92" t="str">
            <v>BIMOLI1</v>
          </cell>
          <cell r="B92" t="str">
            <v>Bimoli Biasa 1 ltr Reff</v>
          </cell>
          <cell r="C92">
            <v>12</v>
          </cell>
          <cell r="D92" t="str">
            <v>dos</v>
          </cell>
          <cell r="E92">
            <v>183000</v>
          </cell>
          <cell r="G92">
            <v>15250</v>
          </cell>
          <cell r="H92">
            <v>16500</v>
          </cell>
          <cell r="I92" t="str">
            <v>pc</v>
          </cell>
          <cell r="J92">
            <v>16000</v>
          </cell>
          <cell r="K92" t="str">
            <v>pc</v>
          </cell>
          <cell r="L92">
            <v>16000</v>
          </cell>
          <cell r="M92" t="str">
            <v>pc</v>
          </cell>
        </row>
        <row r="93">
          <cell r="A93" t="str">
            <v>BIMOLI5</v>
          </cell>
          <cell r="B93" t="str">
            <v>Bimoli Biasa 5 ltr</v>
          </cell>
          <cell r="C93">
            <v>4</v>
          </cell>
          <cell r="D93" t="str">
            <v>dos</v>
          </cell>
          <cell r="E93">
            <v>265000</v>
          </cell>
          <cell r="F93">
            <v>535900</v>
          </cell>
          <cell r="G93">
            <v>66250</v>
          </cell>
          <cell r="H93">
            <v>70000</v>
          </cell>
          <cell r="I93" t="str">
            <v>dirj</v>
          </cell>
          <cell r="J93">
            <v>69500</v>
          </cell>
          <cell r="K93" t="str">
            <v>dirj</v>
          </cell>
          <cell r="L93">
            <v>69000</v>
          </cell>
          <cell r="M93" t="str">
            <v>dirj</v>
          </cell>
        </row>
        <row r="94">
          <cell r="A94" t="str">
            <v>bimoli2</v>
          </cell>
          <cell r="B94" t="str">
            <v>Bimoli Biasa Refill 2 ltr</v>
          </cell>
          <cell r="C94">
            <v>6</v>
          </cell>
          <cell r="D94" t="str">
            <v>dos</v>
          </cell>
          <cell r="E94">
            <v>187000</v>
          </cell>
          <cell r="G94">
            <v>31166.666666666668</v>
          </cell>
          <cell r="H94">
            <v>32000</v>
          </cell>
          <cell r="I94" t="str">
            <v>bks</v>
          </cell>
          <cell r="J94">
            <v>32000</v>
          </cell>
          <cell r="K94" t="str">
            <v>bks</v>
          </cell>
          <cell r="L94">
            <v>32000</v>
          </cell>
          <cell r="M94" t="str">
            <v>bks</v>
          </cell>
          <cell r="AA94">
            <v>190000</v>
          </cell>
          <cell r="AB94" t="str">
            <v>dos</v>
          </cell>
        </row>
        <row r="95">
          <cell r="A95" t="str">
            <v>BIOSOL</v>
          </cell>
          <cell r="B95" t="str">
            <v>BIOSOL rtg</v>
          </cell>
          <cell r="C95">
            <v>12</v>
          </cell>
          <cell r="D95" t="str">
            <v>rtg</v>
          </cell>
          <cell r="E95">
            <v>5500</v>
          </cell>
          <cell r="F95">
            <v>11000</v>
          </cell>
          <cell r="G95">
            <v>458.33333333333331</v>
          </cell>
          <cell r="AB95" t="str">
            <v>dos</v>
          </cell>
        </row>
        <row r="96">
          <cell r="A96" t="str">
            <v>BISKITOP</v>
          </cell>
          <cell r="B96" t="str">
            <v>Biskitop WAFER kecil</v>
          </cell>
          <cell r="C96">
            <v>24</v>
          </cell>
          <cell r="D96" t="str">
            <v>pak</v>
          </cell>
          <cell r="E96">
            <v>18666.666666666668</v>
          </cell>
          <cell r="F96">
            <v>112000</v>
          </cell>
          <cell r="G96">
            <v>777.77777777777783</v>
          </cell>
          <cell r="Q96">
            <v>21000</v>
          </cell>
          <cell r="R96">
            <v>24</v>
          </cell>
          <cell r="S96" t="str">
            <v>pak</v>
          </cell>
        </row>
        <row r="97">
          <cell r="A97" t="str">
            <v>RITZ118</v>
          </cell>
          <cell r="B97" t="str">
            <v>Biskuit R I T Z 118 gr</v>
          </cell>
          <cell r="C97">
            <v>24</v>
          </cell>
          <cell r="D97" t="str">
            <v>pcs</v>
          </cell>
          <cell r="E97">
            <v>153912</v>
          </cell>
          <cell r="F97">
            <v>76956</v>
          </cell>
          <cell r="G97">
            <v>6413</v>
          </cell>
          <cell r="H97">
            <v>7500</v>
          </cell>
          <cell r="I97" t="str">
            <v>pc</v>
          </cell>
          <cell r="J97">
            <v>7100</v>
          </cell>
          <cell r="K97" t="str">
            <v>pc</v>
          </cell>
          <cell r="L97">
            <v>6700</v>
          </cell>
          <cell r="M97" t="str">
            <v>pc</v>
          </cell>
          <cell r="T97">
            <v>79500</v>
          </cell>
          <cell r="U97">
            <v>12</v>
          </cell>
          <cell r="V97" t="str">
            <v>lsn</v>
          </cell>
          <cell r="W97">
            <v>6600</v>
          </cell>
          <cell r="X97" t="str">
            <v>pc</v>
          </cell>
          <cell r="Y97">
            <v>6625</v>
          </cell>
          <cell r="Z97" t="str">
            <v>pc</v>
          </cell>
          <cell r="AA97">
            <v>157000</v>
          </cell>
          <cell r="AB97" t="str">
            <v>dos</v>
          </cell>
        </row>
        <row r="98">
          <cell r="A98" t="str">
            <v>MARISUPER</v>
          </cell>
          <cell r="B98" t="str">
            <v>Biskuit ABM Marie Super</v>
          </cell>
          <cell r="C98">
            <v>10</v>
          </cell>
          <cell r="D98" t="str">
            <v>pcs</v>
          </cell>
          <cell r="E98">
            <v>21250</v>
          </cell>
          <cell r="F98">
            <v>85000</v>
          </cell>
          <cell r="G98">
            <v>2125</v>
          </cell>
          <cell r="H98">
            <v>3000</v>
          </cell>
          <cell r="I98" t="str">
            <v>pc</v>
          </cell>
          <cell r="J98">
            <v>3000</v>
          </cell>
          <cell r="K98" t="str">
            <v>pc</v>
          </cell>
          <cell r="L98">
            <v>2600</v>
          </cell>
          <cell r="M98" t="str">
            <v>pc</v>
          </cell>
          <cell r="Q98">
            <v>25000</v>
          </cell>
          <cell r="R98">
            <v>10</v>
          </cell>
          <cell r="S98" t="str">
            <v>pak</v>
          </cell>
          <cell r="W98">
            <v>2400</v>
          </cell>
          <cell r="X98" t="str">
            <v>pc</v>
          </cell>
          <cell r="Y98">
            <v>2500</v>
          </cell>
          <cell r="Z98" t="str">
            <v>pc</v>
          </cell>
        </row>
        <row r="99">
          <cell r="A99" t="str">
            <v>ABM180</v>
          </cell>
          <cell r="B99" t="str">
            <v>Biskuit ABM / BOGABIS Pak isi 5</v>
          </cell>
          <cell r="C99">
            <v>5</v>
          </cell>
          <cell r="D99" t="str">
            <v>pak</v>
          </cell>
          <cell r="E99">
            <v>23750</v>
          </cell>
          <cell r="F99">
            <v>95000</v>
          </cell>
          <cell r="G99">
            <v>4750</v>
          </cell>
          <cell r="H99">
            <v>6000</v>
          </cell>
          <cell r="I99" t="str">
            <v>pc</v>
          </cell>
          <cell r="J99">
            <v>5700</v>
          </cell>
          <cell r="K99" t="str">
            <v>pc</v>
          </cell>
          <cell r="L99">
            <v>5500</v>
          </cell>
          <cell r="M99" t="str">
            <v>pc</v>
          </cell>
          <cell r="Q99">
            <v>26000</v>
          </cell>
          <cell r="R99">
            <v>5</v>
          </cell>
          <cell r="S99" t="str">
            <v>pak</v>
          </cell>
          <cell r="W99">
            <v>5100</v>
          </cell>
          <cell r="X99" t="str">
            <v>pc</v>
          </cell>
          <cell r="Y99">
            <v>5200</v>
          </cell>
          <cell r="Z99" t="str">
            <v>pc</v>
          </cell>
        </row>
        <row r="100">
          <cell r="A100" t="str">
            <v>BOGABIS140</v>
          </cell>
          <cell r="B100" t="str">
            <v>Biskuit BOGABIS WAFER 140</v>
          </cell>
          <cell r="C100">
            <v>5</v>
          </cell>
          <cell r="D100" t="str">
            <v>pak</v>
          </cell>
          <cell r="E100">
            <v>19000</v>
          </cell>
          <cell r="F100">
            <v>76000</v>
          </cell>
          <cell r="G100">
            <v>3800</v>
          </cell>
          <cell r="H100">
            <v>5000</v>
          </cell>
          <cell r="I100" t="str">
            <v>pc</v>
          </cell>
          <cell r="J100">
            <v>5000</v>
          </cell>
          <cell r="K100" t="str">
            <v>pc</v>
          </cell>
          <cell r="L100">
            <v>4500</v>
          </cell>
          <cell r="M100" t="str">
            <v>pc</v>
          </cell>
          <cell r="Q100">
            <v>21500</v>
          </cell>
          <cell r="R100">
            <v>5</v>
          </cell>
          <cell r="S100" t="str">
            <v>pak</v>
          </cell>
          <cell r="W100">
            <v>4200</v>
          </cell>
          <cell r="X100" t="str">
            <v>pc</v>
          </cell>
          <cell r="Y100">
            <v>4300</v>
          </cell>
          <cell r="Z100" t="str">
            <v>pc</v>
          </cell>
        </row>
        <row r="101">
          <cell r="A101" t="str">
            <v>BOGABIS100</v>
          </cell>
          <cell r="B101" t="str">
            <v>Biskuit BOGABIS WAFER 100</v>
          </cell>
          <cell r="C101">
            <v>6</v>
          </cell>
          <cell r="D101" t="str">
            <v>pak</v>
          </cell>
          <cell r="E101">
            <v>18250</v>
          </cell>
          <cell r="F101">
            <v>73000</v>
          </cell>
          <cell r="G101">
            <v>3041.6666666666665</v>
          </cell>
          <cell r="H101">
            <v>4000</v>
          </cell>
          <cell r="I101" t="str">
            <v>pc</v>
          </cell>
          <cell r="J101">
            <v>4000</v>
          </cell>
          <cell r="K101" t="str">
            <v>pc</v>
          </cell>
          <cell r="L101">
            <v>3700</v>
          </cell>
          <cell r="M101" t="str">
            <v>pc</v>
          </cell>
          <cell r="Q101">
            <v>21000</v>
          </cell>
          <cell r="R101">
            <v>6</v>
          </cell>
          <cell r="S101" t="str">
            <v>pak</v>
          </cell>
          <cell r="W101">
            <v>3400</v>
          </cell>
          <cell r="X101" t="str">
            <v>pc</v>
          </cell>
          <cell r="Y101">
            <v>3500</v>
          </cell>
          <cell r="Z101" t="str">
            <v>pc</v>
          </cell>
        </row>
        <row r="102">
          <cell r="A102" t="str">
            <v>BOGABIS225</v>
          </cell>
          <cell r="B102" t="str">
            <v>Biskuit BOGABIS Peanut 225</v>
          </cell>
          <cell r="C102">
            <v>6</v>
          </cell>
          <cell r="D102" t="str">
            <v>pak</v>
          </cell>
          <cell r="E102">
            <v>47000</v>
          </cell>
          <cell r="F102">
            <v>141000</v>
          </cell>
          <cell r="G102">
            <v>7833.333333333333</v>
          </cell>
          <cell r="H102">
            <v>9000</v>
          </cell>
          <cell r="I102" t="str">
            <v>pc</v>
          </cell>
          <cell r="J102">
            <v>8500</v>
          </cell>
          <cell r="K102" t="str">
            <v>pc</v>
          </cell>
          <cell r="L102">
            <v>8500</v>
          </cell>
          <cell r="M102" t="str">
            <v>pc</v>
          </cell>
          <cell r="Q102">
            <v>50000</v>
          </cell>
          <cell r="R102">
            <v>6</v>
          </cell>
          <cell r="S102" t="str">
            <v>pak</v>
          </cell>
          <cell r="W102">
            <v>8300</v>
          </cell>
          <cell r="X102" t="str">
            <v>pc</v>
          </cell>
          <cell r="Y102">
            <v>8400</v>
          </cell>
          <cell r="Z102" t="str">
            <v>pc</v>
          </cell>
        </row>
        <row r="103">
          <cell r="A103" t="str">
            <v>SQUAREPUFF</v>
          </cell>
          <cell r="B103" t="str">
            <v>Biskuit ABM Square Puff 300 gr</v>
          </cell>
          <cell r="C103">
            <v>6</v>
          </cell>
          <cell r="D103" t="str">
            <v>pak</v>
          </cell>
          <cell r="E103">
            <v>41500</v>
          </cell>
          <cell r="F103">
            <v>166000</v>
          </cell>
          <cell r="G103">
            <v>6916.666666666667</v>
          </cell>
          <cell r="H103">
            <v>7500</v>
          </cell>
          <cell r="I103" t="str">
            <v>pc</v>
          </cell>
          <cell r="J103">
            <v>7500</v>
          </cell>
          <cell r="K103" t="str">
            <v>pc</v>
          </cell>
          <cell r="L103">
            <v>7500</v>
          </cell>
          <cell r="M103" t="str">
            <v>pc</v>
          </cell>
          <cell r="Q103">
            <v>44000</v>
          </cell>
          <cell r="R103">
            <v>6</v>
          </cell>
          <cell r="S103" t="str">
            <v>pak</v>
          </cell>
        </row>
        <row r="104">
          <cell r="A104" t="str">
            <v>AIM</v>
          </cell>
          <cell r="B104" t="str">
            <v>Biskuit AIM Kelapa Muda</v>
          </cell>
          <cell r="C104">
            <v>5</v>
          </cell>
          <cell r="D104" t="str">
            <v>pak</v>
          </cell>
          <cell r="E104">
            <v>32500</v>
          </cell>
          <cell r="F104">
            <v>130000</v>
          </cell>
          <cell r="G104">
            <v>6500</v>
          </cell>
          <cell r="H104">
            <v>8000</v>
          </cell>
          <cell r="I104" t="str">
            <v>pc</v>
          </cell>
          <cell r="J104">
            <v>7500</v>
          </cell>
          <cell r="K104" t="str">
            <v>pc</v>
          </cell>
          <cell r="L104">
            <v>7300</v>
          </cell>
          <cell r="M104" t="str">
            <v>pc</v>
          </cell>
          <cell r="Q104">
            <v>36000</v>
          </cell>
          <cell r="R104">
            <v>5</v>
          </cell>
          <cell r="S104" t="str">
            <v>pak</v>
          </cell>
          <cell r="W104">
            <v>6900</v>
          </cell>
          <cell r="X104" t="str">
            <v>pc</v>
          </cell>
          <cell r="Y104">
            <v>7200</v>
          </cell>
          <cell r="Z104" t="str">
            <v>pc</v>
          </cell>
        </row>
        <row r="105">
          <cell r="A105" t="str">
            <v>mulia400</v>
          </cell>
          <cell r="B105" t="str">
            <v>Biskuit BISKUIT MULIA KALENG</v>
          </cell>
          <cell r="C105">
            <v>6</v>
          </cell>
          <cell r="D105" t="str">
            <v>klg</v>
          </cell>
          <cell r="E105">
            <v>117000</v>
          </cell>
          <cell r="G105">
            <v>19500</v>
          </cell>
          <cell r="H105">
            <v>23000</v>
          </cell>
          <cell r="I105" t="str">
            <v>klg</v>
          </cell>
          <cell r="J105">
            <v>22500</v>
          </cell>
          <cell r="K105" t="str">
            <v>klg</v>
          </cell>
          <cell r="L105">
            <v>22000</v>
          </cell>
          <cell r="M105" t="str">
            <v>klg</v>
          </cell>
          <cell r="AA105">
            <v>121000</v>
          </cell>
          <cell r="AB105" t="str">
            <v>dos</v>
          </cell>
        </row>
        <row r="106">
          <cell r="A106" t="str">
            <v>HAPPY700</v>
          </cell>
          <cell r="B106" t="str">
            <v>HAPPY HAPPY 700 gr</v>
          </cell>
          <cell r="C106">
            <v>6</v>
          </cell>
          <cell r="D106" t="str">
            <v>klg</v>
          </cell>
          <cell r="E106">
            <v>276000</v>
          </cell>
          <cell r="G106">
            <v>46000</v>
          </cell>
          <cell r="H106">
            <v>50000</v>
          </cell>
          <cell r="I106" t="str">
            <v>pc</v>
          </cell>
          <cell r="J106">
            <v>50000</v>
          </cell>
          <cell r="K106" t="str">
            <v>pc</v>
          </cell>
          <cell r="L106">
            <v>50000</v>
          </cell>
          <cell r="M106" t="str">
            <v>pc</v>
          </cell>
        </row>
        <row r="107">
          <cell r="A107" t="str">
            <v>KUKIS400</v>
          </cell>
          <cell r="B107" t="str">
            <v>Biskuit Kukis BUCKET 400 GR</v>
          </cell>
          <cell r="C107">
            <v>6</v>
          </cell>
          <cell r="D107" t="str">
            <v>klg</v>
          </cell>
          <cell r="E107">
            <v>120500</v>
          </cell>
          <cell r="G107">
            <v>20083.333333333332</v>
          </cell>
          <cell r="H107">
            <v>25000</v>
          </cell>
          <cell r="I107" t="str">
            <v>pc</v>
          </cell>
          <cell r="J107">
            <v>25000</v>
          </cell>
          <cell r="K107" t="str">
            <v>pc</v>
          </cell>
          <cell r="L107">
            <v>23500</v>
          </cell>
          <cell r="M107" t="str">
            <v>pc</v>
          </cell>
          <cell r="AA107">
            <v>130000</v>
          </cell>
          <cell r="AB107" t="str">
            <v>dos</v>
          </cell>
        </row>
        <row r="108">
          <cell r="A108" t="str">
            <v>KUKISB</v>
          </cell>
          <cell r="B108" t="str">
            <v>Biskuit Delisius Cookis Butter/Kelapa 216 GR</v>
          </cell>
          <cell r="C108">
            <v>6</v>
          </cell>
          <cell r="D108" t="str">
            <v>pak</v>
          </cell>
          <cell r="E108">
            <v>31750</v>
          </cell>
          <cell r="F108">
            <v>127000</v>
          </cell>
          <cell r="G108">
            <v>5291.666666666667</v>
          </cell>
          <cell r="H108">
            <v>6500</v>
          </cell>
          <cell r="I108" t="str">
            <v>pc</v>
          </cell>
          <cell r="J108">
            <v>6500</v>
          </cell>
          <cell r="K108" t="str">
            <v>pc</v>
          </cell>
          <cell r="L108">
            <v>6000</v>
          </cell>
          <cell r="M108" t="str">
            <v>pc</v>
          </cell>
          <cell r="Q108">
            <v>34000</v>
          </cell>
          <cell r="R108">
            <v>6</v>
          </cell>
          <cell r="S108" t="str">
            <v>pak</v>
          </cell>
        </row>
        <row r="109">
          <cell r="A109" t="str">
            <v>KUKIS60</v>
          </cell>
          <cell r="B109" t="str">
            <v>Biskuit Cookis Butter/Kelapa 60 GR</v>
          </cell>
          <cell r="C109">
            <v>10</v>
          </cell>
          <cell r="D109" t="str">
            <v>pak</v>
          </cell>
          <cell r="E109">
            <v>15167</v>
          </cell>
          <cell r="G109">
            <v>1516.7</v>
          </cell>
          <cell r="H109">
            <v>2500</v>
          </cell>
          <cell r="I109" t="str">
            <v>pc</v>
          </cell>
          <cell r="J109">
            <v>2500</v>
          </cell>
          <cell r="K109" t="str">
            <v>pc</v>
          </cell>
          <cell r="L109">
            <v>2000</v>
          </cell>
          <cell r="M109" t="str">
            <v>pc</v>
          </cell>
          <cell r="Q109">
            <v>18000</v>
          </cell>
          <cell r="R109">
            <v>10</v>
          </cell>
          <cell r="S109" t="str">
            <v>pak</v>
          </cell>
        </row>
        <row r="110">
          <cell r="A110" t="str">
            <v>KUKIS90</v>
          </cell>
          <cell r="B110" t="str">
            <v>Biskuit Cookis Butter/Kelapa 90 GR</v>
          </cell>
          <cell r="C110">
            <v>10</v>
          </cell>
          <cell r="D110" t="str">
            <v>pak</v>
          </cell>
          <cell r="E110">
            <v>26333.333333333332</v>
          </cell>
          <cell r="F110">
            <v>79000</v>
          </cell>
          <cell r="G110">
            <v>2633.333333333333</v>
          </cell>
          <cell r="H110">
            <v>5000</v>
          </cell>
          <cell r="I110" t="str">
            <v>pc</v>
          </cell>
          <cell r="J110">
            <v>4500</v>
          </cell>
          <cell r="K110" t="str">
            <v>pc</v>
          </cell>
          <cell r="L110">
            <v>4000</v>
          </cell>
          <cell r="M110" t="str">
            <v>pc</v>
          </cell>
          <cell r="Q110">
            <v>30000</v>
          </cell>
          <cell r="R110">
            <v>10</v>
          </cell>
          <cell r="S110" t="str">
            <v>pak</v>
          </cell>
        </row>
        <row r="111">
          <cell r="A111" t="str">
            <v>NARITA</v>
          </cell>
          <cell r="B111" t="str">
            <v>Biskuit NARITA 200 gr</v>
          </cell>
          <cell r="C111">
            <v>7</v>
          </cell>
          <cell r="D111" t="str">
            <v>pak</v>
          </cell>
          <cell r="E111">
            <v>27333.333333333332</v>
          </cell>
          <cell r="F111">
            <v>82000</v>
          </cell>
          <cell r="G111">
            <v>3904.7619047619046</v>
          </cell>
          <cell r="H111">
            <v>5000</v>
          </cell>
          <cell r="I111" t="str">
            <v>pc</v>
          </cell>
          <cell r="J111">
            <v>5000</v>
          </cell>
          <cell r="K111" t="str">
            <v>pc</v>
          </cell>
          <cell r="L111">
            <v>5000</v>
          </cell>
          <cell r="M111" t="str">
            <v>pc</v>
          </cell>
          <cell r="Q111">
            <v>31000</v>
          </cell>
          <cell r="R111">
            <v>7</v>
          </cell>
          <cell r="S111" t="str">
            <v>pak</v>
          </cell>
          <cell r="AA111">
            <v>85000</v>
          </cell>
          <cell r="AB111" t="str">
            <v>dos</v>
          </cell>
        </row>
        <row r="112">
          <cell r="A112" t="str">
            <v>KUKISR</v>
          </cell>
          <cell r="B112" t="str">
            <v>Biskuit Delisius Cookis Renteng</v>
          </cell>
          <cell r="C112">
            <v>20</v>
          </cell>
          <cell r="D112" t="str">
            <v>pak</v>
          </cell>
          <cell r="E112">
            <v>8250</v>
          </cell>
          <cell r="F112">
            <v>49500</v>
          </cell>
          <cell r="G112">
            <v>412.5</v>
          </cell>
          <cell r="Q112">
            <v>9500</v>
          </cell>
          <cell r="R112">
            <v>20</v>
          </cell>
          <cell r="S112" t="str">
            <v>pak</v>
          </cell>
          <cell r="AA112">
            <v>51000</v>
          </cell>
          <cell r="AB112" t="str">
            <v>dos</v>
          </cell>
        </row>
        <row r="113">
          <cell r="A113" t="str">
            <v>GABINM</v>
          </cell>
          <cell r="B113" t="str">
            <v>Biskuit Gabin Master</v>
          </cell>
          <cell r="C113">
            <v>6</v>
          </cell>
          <cell r="D113" t="str">
            <v>pcs</v>
          </cell>
          <cell r="E113">
            <v>19700</v>
          </cell>
          <cell r="F113">
            <v>98500</v>
          </cell>
          <cell r="G113">
            <v>3283.3333333333335</v>
          </cell>
          <cell r="H113">
            <v>5000</v>
          </cell>
          <cell r="I113" t="str">
            <v>pc</v>
          </cell>
          <cell r="J113">
            <v>4600</v>
          </cell>
          <cell r="K113" t="str">
            <v>pc</v>
          </cell>
          <cell r="L113">
            <v>4300</v>
          </cell>
          <cell r="M113" t="str">
            <v>pc</v>
          </cell>
          <cell r="Q113">
            <v>23000</v>
          </cell>
          <cell r="R113">
            <v>6</v>
          </cell>
          <cell r="S113" t="str">
            <v>pak</v>
          </cell>
          <cell r="W113">
            <v>3800</v>
          </cell>
          <cell r="X113" t="str">
            <v>pc</v>
          </cell>
          <cell r="Y113">
            <v>3900</v>
          </cell>
          <cell r="Z113" t="str">
            <v>pc</v>
          </cell>
        </row>
        <row r="114">
          <cell r="A114" t="str">
            <v>GABINT</v>
          </cell>
          <cell r="B114" t="str">
            <v>Biskuit Gabin Tradisional</v>
          </cell>
          <cell r="C114">
            <v>18</v>
          </cell>
          <cell r="D114" t="str">
            <v>pcs</v>
          </cell>
          <cell r="E114">
            <v>107000</v>
          </cell>
          <cell r="F114">
            <v>71333.333333333328</v>
          </cell>
          <cell r="G114">
            <v>5944.4444444444443</v>
          </cell>
          <cell r="H114">
            <v>6500</v>
          </cell>
          <cell r="I114" t="str">
            <v>pc</v>
          </cell>
          <cell r="J114">
            <v>6700</v>
          </cell>
          <cell r="K114" t="str">
            <v>pc</v>
          </cell>
          <cell r="L114">
            <v>6500</v>
          </cell>
          <cell r="M114" t="str">
            <v>pc</v>
          </cell>
          <cell r="T114">
            <v>74000</v>
          </cell>
          <cell r="U114">
            <v>12</v>
          </cell>
          <cell r="V114" t="str">
            <v>lsn</v>
          </cell>
          <cell r="W114">
            <v>6100</v>
          </cell>
          <cell r="X114" t="str">
            <v>pc</v>
          </cell>
          <cell r="Y114">
            <v>6200</v>
          </cell>
          <cell r="Z114" t="str">
            <v>pc</v>
          </cell>
        </row>
        <row r="115">
          <cell r="A115" t="str">
            <v>GABINB</v>
          </cell>
          <cell r="B115" t="str">
            <v>Biskuit Gabin B &amp; B</v>
          </cell>
          <cell r="C115">
            <v>18</v>
          </cell>
          <cell r="D115" t="str">
            <v>pcs</v>
          </cell>
          <cell r="E115">
            <v>109000</v>
          </cell>
          <cell r="F115">
            <v>72666.666666666672</v>
          </cell>
          <cell r="G115">
            <v>6055.5555555555557</v>
          </cell>
          <cell r="H115">
            <v>7000</v>
          </cell>
          <cell r="I115" t="str">
            <v>pc</v>
          </cell>
          <cell r="J115">
            <v>6700</v>
          </cell>
          <cell r="K115" t="str">
            <v>pc</v>
          </cell>
          <cell r="L115">
            <v>6500</v>
          </cell>
          <cell r="M115" t="str">
            <v>pc</v>
          </cell>
          <cell r="T115">
            <v>74000</v>
          </cell>
          <cell r="U115">
            <v>12</v>
          </cell>
          <cell r="V115" t="str">
            <v>lsn</v>
          </cell>
          <cell r="W115">
            <v>6100</v>
          </cell>
          <cell r="X115" t="str">
            <v>pc</v>
          </cell>
          <cell r="Y115">
            <v>6200</v>
          </cell>
          <cell r="Z115" t="str">
            <v>pc</v>
          </cell>
        </row>
        <row r="116">
          <cell r="A116" t="str">
            <v>HATARI260</v>
          </cell>
          <cell r="B116" t="str">
            <v>Biskuit Hatari 260 gr</v>
          </cell>
          <cell r="C116">
            <v>6</v>
          </cell>
          <cell r="D116" t="str">
            <v>pcs</v>
          </cell>
          <cell r="E116">
            <v>29333.333333333332</v>
          </cell>
          <cell r="F116">
            <v>176000</v>
          </cell>
          <cell r="G116">
            <v>4888.8888888888887</v>
          </cell>
          <cell r="H116">
            <v>6500</v>
          </cell>
          <cell r="I116" t="str">
            <v>pc</v>
          </cell>
          <cell r="J116">
            <v>6000</v>
          </cell>
          <cell r="K116" t="str">
            <v>pc</v>
          </cell>
          <cell r="L116">
            <v>5500</v>
          </cell>
          <cell r="M116" t="str">
            <v>pc</v>
          </cell>
          <cell r="Q116">
            <v>32000</v>
          </cell>
          <cell r="R116">
            <v>6</v>
          </cell>
          <cell r="S116" t="str">
            <v>pak</v>
          </cell>
          <cell r="W116">
            <v>5300</v>
          </cell>
          <cell r="X116" t="str">
            <v>pcs</v>
          </cell>
          <cell r="Y116">
            <v>5333.333333333333</v>
          </cell>
          <cell r="Z116" t="str">
            <v>pcs</v>
          </cell>
          <cell r="AA116">
            <v>179000</v>
          </cell>
          <cell r="AB116" t="str">
            <v>dos</v>
          </cell>
        </row>
        <row r="117">
          <cell r="A117" t="str">
            <v>HATARI200</v>
          </cell>
          <cell r="B117" t="str">
            <v>Biskuit Hatari kecil isi 7 200 gr</v>
          </cell>
          <cell r="C117">
            <v>7</v>
          </cell>
          <cell r="D117" t="str">
            <v>pak</v>
          </cell>
          <cell r="E117">
            <v>29000</v>
          </cell>
          <cell r="F117">
            <v>87000</v>
          </cell>
          <cell r="G117">
            <v>4142.8571428571431</v>
          </cell>
          <cell r="H117">
            <v>5500</v>
          </cell>
          <cell r="I117" t="str">
            <v>pc</v>
          </cell>
          <cell r="J117">
            <v>5500</v>
          </cell>
          <cell r="K117" t="str">
            <v>pc</v>
          </cell>
          <cell r="L117">
            <v>4900</v>
          </cell>
          <cell r="M117" t="str">
            <v>pc</v>
          </cell>
          <cell r="Q117">
            <v>32000</v>
          </cell>
          <cell r="R117">
            <v>7</v>
          </cell>
          <cell r="S117" t="str">
            <v>pak</v>
          </cell>
          <cell r="W117">
            <v>4500</v>
          </cell>
          <cell r="X117" t="str">
            <v>pcs</v>
          </cell>
          <cell r="Y117">
            <v>4571.4285714285716</v>
          </cell>
          <cell r="Z117" t="str">
            <v>pcs</v>
          </cell>
          <cell r="AA117">
            <v>90000</v>
          </cell>
          <cell r="AB117" t="str">
            <v>dos</v>
          </cell>
        </row>
        <row r="118">
          <cell r="A118" t="str">
            <v>HATARI250</v>
          </cell>
          <cell r="B118" t="str">
            <v>Biskuit Hatari 250 Gr</v>
          </cell>
          <cell r="C118">
            <v>12</v>
          </cell>
          <cell r="D118" t="str">
            <v>pcs</v>
          </cell>
          <cell r="E118">
            <v>84000</v>
          </cell>
          <cell r="G118">
            <v>7000</v>
          </cell>
          <cell r="H118">
            <v>8500</v>
          </cell>
          <cell r="I118" t="str">
            <v>pc</v>
          </cell>
          <cell r="J118">
            <v>8500</v>
          </cell>
          <cell r="K118" t="str">
            <v>pc</v>
          </cell>
          <cell r="L118">
            <v>7400</v>
          </cell>
          <cell r="M118" t="str">
            <v>pc</v>
          </cell>
          <cell r="T118">
            <v>87000</v>
          </cell>
          <cell r="U118">
            <v>12</v>
          </cell>
          <cell r="V118" t="str">
            <v>lsn</v>
          </cell>
          <cell r="W118">
            <v>7200</v>
          </cell>
          <cell r="X118" t="str">
            <v>pcs</v>
          </cell>
          <cell r="Y118">
            <v>7250</v>
          </cell>
          <cell r="Z118" t="str">
            <v>pcs</v>
          </cell>
          <cell r="AA118">
            <v>87000</v>
          </cell>
          <cell r="AB118" t="str">
            <v>dos</v>
          </cell>
        </row>
        <row r="119">
          <cell r="A119" t="str">
            <v>HOCKB</v>
          </cell>
          <cell r="B119" t="str">
            <v>Biskuit HOCK Guan Besar</v>
          </cell>
          <cell r="C119">
            <v>6</v>
          </cell>
          <cell r="D119" t="str">
            <v>klg</v>
          </cell>
          <cell r="E119">
            <v>308000</v>
          </cell>
          <cell r="G119">
            <v>51333.333333333336</v>
          </cell>
        </row>
        <row r="120">
          <cell r="A120" t="str">
            <v>BLACK300</v>
          </cell>
          <cell r="B120" t="str">
            <v>Biskuit MARINDO BLACK 300 gr</v>
          </cell>
          <cell r="C120">
            <v>6</v>
          </cell>
          <cell r="D120" t="str">
            <v>pcs</v>
          </cell>
          <cell r="E120">
            <v>34250</v>
          </cell>
          <cell r="F120">
            <v>137000</v>
          </cell>
          <cell r="G120">
            <v>5708.333333333333</v>
          </cell>
          <cell r="H120">
            <v>7000</v>
          </cell>
          <cell r="I120" t="str">
            <v>pc</v>
          </cell>
          <cell r="J120">
            <v>6700</v>
          </cell>
          <cell r="K120" t="str">
            <v>pc</v>
          </cell>
          <cell r="L120">
            <v>6500</v>
          </cell>
          <cell r="M120" t="str">
            <v>pc</v>
          </cell>
          <cell r="Q120">
            <v>37500</v>
          </cell>
          <cell r="R120">
            <v>6</v>
          </cell>
          <cell r="S120" t="str">
            <v>pak</v>
          </cell>
          <cell r="Y120">
            <v>6250</v>
          </cell>
          <cell r="Z120" t="str">
            <v>pc</v>
          </cell>
        </row>
        <row r="121">
          <cell r="A121" t="str">
            <v>COLUMBIA750</v>
          </cell>
          <cell r="B121" t="str">
            <v>Biskuit Kaleng Columbia 750 gr</v>
          </cell>
          <cell r="C121">
            <v>6</v>
          </cell>
          <cell r="D121" t="str">
            <v>klg</v>
          </cell>
          <cell r="E121">
            <v>252000</v>
          </cell>
          <cell r="G121">
            <v>42000</v>
          </cell>
          <cell r="H121">
            <v>50000</v>
          </cell>
          <cell r="I121" t="str">
            <v>pc</v>
          </cell>
          <cell r="J121">
            <v>50000</v>
          </cell>
          <cell r="K121" t="str">
            <v>pc</v>
          </cell>
          <cell r="L121">
            <v>48000</v>
          </cell>
          <cell r="M121" t="str">
            <v>pc</v>
          </cell>
        </row>
        <row r="122">
          <cell r="A122" t="str">
            <v>COLUMBIA350</v>
          </cell>
          <cell r="B122" t="str">
            <v>Biskuit Kaleng Columbia 350 gr</v>
          </cell>
          <cell r="C122">
            <v>6</v>
          </cell>
          <cell r="D122" t="str">
            <v>klg</v>
          </cell>
          <cell r="E122">
            <v>117000</v>
          </cell>
          <cell r="G122">
            <v>19500</v>
          </cell>
          <cell r="H122">
            <v>25000</v>
          </cell>
          <cell r="I122" t="str">
            <v>pc</v>
          </cell>
          <cell r="J122">
            <v>25000</v>
          </cell>
          <cell r="K122" t="str">
            <v>pc</v>
          </cell>
          <cell r="L122">
            <v>23000</v>
          </cell>
          <cell r="M122" t="str">
            <v>pc</v>
          </cell>
        </row>
        <row r="123">
          <cell r="A123" t="str">
            <v>COLUMBIA400</v>
          </cell>
          <cell r="B123" t="str">
            <v>Biskuit Kaleng Columbia 400 gr</v>
          </cell>
          <cell r="C123">
            <v>6</v>
          </cell>
          <cell r="D123" t="str">
            <v>klg</v>
          </cell>
          <cell r="E123">
            <v>117500</v>
          </cell>
          <cell r="G123">
            <v>19583.333333333332</v>
          </cell>
          <cell r="H123">
            <v>26000</v>
          </cell>
          <cell r="I123" t="str">
            <v>pc</v>
          </cell>
          <cell r="J123">
            <v>26000</v>
          </cell>
          <cell r="K123" t="str">
            <v>pc</v>
          </cell>
          <cell r="L123">
            <v>24000</v>
          </cell>
          <cell r="M123" t="str">
            <v>pc</v>
          </cell>
        </row>
        <row r="124">
          <cell r="A124" t="str">
            <v>COLUMBIA500</v>
          </cell>
          <cell r="B124" t="str">
            <v>Biskuit Kaleng Columbia 500 gr</v>
          </cell>
          <cell r="C124">
            <v>6</v>
          </cell>
          <cell r="D124" t="str">
            <v>klg</v>
          </cell>
          <cell r="E124">
            <v>123500</v>
          </cell>
          <cell r="G124">
            <v>20583.333333333332</v>
          </cell>
          <cell r="H124">
            <v>28000</v>
          </cell>
          <cell r="I124" t="str">
            <v>pc</v>
          </cell>
          <cell r="J124">
            <v>28000</v>
          </cell>
          <cell r="K124" t="str">
            <v>pc</v>
          </cell>
          <cell r="L124">
            <v>26000</v>
          </cell>
          <cell r="M124" t="str">
            <v>pc</v>
          </cell>
        </row>
        <row r="125">
          <cell r="A125" t="str">
            <v>COLUMBIA600</v>
          </cell>
          <cell r="B125" t="str">
            <v>Biskuit Kaleng Columbia 600 gr</v>
          </cell>
          <cell r="C125">
            <v>6</v>
          </cell>
          <cell r="D125" t="str">
            <v>klg</v>
          </cell>
          <cell r="E125">
            <v>165500</v>
          </cell>
          <cell r="G125">
            <v>27583.333333333332</v>
          </cell>
          <cell r="H125">
            <v>35000</v>
          </cell>
          <cell r="I125" t="str">
            <v>pc</v>
          </cell>
          <cell r="J125">
            <v>35000</v>
          </cell>
          <cell r="K125" t="str">
            <v>pc</v>
          </cell>
          <cell r="L125">
            <v>33000</v>
          </cell>
          <cell r="M125" t="str">
            <v>pc</v>
          </cell>
        </row>
        <row r="126">
          <cell r="A126" t="str">
            <v>COLUMBIA180</v>
          </cell>
          <cell r="B126" t="str">
            <v>Biskuit Columbia 180 gr</v>
          </cell>
          <cell r="C126">
            <v>7</v>
          </cell>
          <cell r="D126" t="str">
            <v>pak</v>
          </cell>
          <cell r="E126">
            <v>27166.666666666668</v>
          </cell>
          <cell r="F126">
            <v>81500</v>
          </cell>
          <cell r="G126">
            <v>3880.9523809523812</v>
          </cell>
          <cell r="H126">
            <v>5000</v>
          </cell>
          <cell r="I126" t="str">
            <v>pc</v>
          </cell>
          <cell r="K126" t="str">
            <v>pc</v>
          </cell>
          <cell r="M126" t="str">
            <v>pc</v>
          </cell>
        </row>
        <row r="127">
          <cell r="A127" t="str">
            <v>KHONGB</v>
          </cell>
          <cell r="B127" t="str">
            <v>Biskuit Khong Guan Besar</v>
          </cell>
          <cell r="C127">
            <v>6</v>
          </cell>
          <cell r="D127" t="str">
            <v>klg</v>
          </cell>
          <cell r="E127">
            <v>450000</v>
          </cell>
          <cell r="G127">
            <v>75000</v>
          </cell>
          <cell r="H127">
            <v>78000</v>
          </cell>
          <cell r="I127" t="str">
            <v>pc</v>
          </cell>
          <cell r="J127">
            <v>78000</v>
          </cell>
          <cell r="K127" t="str">
            <v>pc</v>
          </cell>
          <cell r="L127">
            <v>78000</v>
          </cell>
          <cell r="M127" t="str">
            <v>pc</v>
          </cell>
        </row>
        <row r="128">
          <cell r="A128" t="str">
            <v>KHONGK</v>
          </cell>
          <cell r="B128" t="str">
            <v>Biskuit Khong Guan Kecil</v>
          </cell>
          <cell r="C128">
            <v>6</v>
          </cell>
          <cell r="D128" t="str">
            <v>klg</v>
          </cell>
          <cell r="E128">
            <v>246000</v>
          </cell>
          <cell r="G128">
            <v>41000</v>
          </cell>
          <cell r="H128">
            <v>45000</v>
          </cell>
          <cell r="I128" t="str">
            <v>klg</v>
          </cell>
          <cell r="J128">
            <v>44500</v>
          </cell>
          <cell r="K128" t="str">
            <v>klg</v>
          </cell>
          <cell r="L128">
            <v>44000</v>
          </cell>
          <cell r="M128" t="str">
            <v>klg</v>
          </cell>
          <cell r="Y128">
            <v>43000</v>
          </cell>
          <cell r="Z128" t="str">
            <v>pc</v>
          </cell>
        </row>
        <row r="129">
          <cell r="A129" t="str">
            <v>KMALKIS1</v>
          </cell>
          <cell r="B129" t="str">
            <v>Biskuit KOKOLA MALKIS renteng 17 gr</v>
          </cell>
          <cell r="C129">
            <v>20</v>
          </cell>
          <cell r="D129" t="str">
            <v>pcs</v>
          </cell>
          <cell r="E129">
            <v>7711.1111111111113</v>
          </cell>
          <cell r="F129">
            <v>69400</v>
          </cell>
          <cell r="G129">
            <v>385.55555555555554</v>
          </cell>
          <cell r="Q129">
            <v>9000</v>
          </cell>
          <cell r="R129">
            <v>20</v>
          </cell>
          <cell r="S129" t="str">
            <v>pak</v>
          </cell>
          <cell r="AA129">
            <v>76500</v>
          </cell>
          <cell r="AB129" t="str">
            <v>dos</v>
          </cell>
        </row>
        <row r="130">
          <cell r="A130" t="str">
            <v>KMALKIS438</v>
          </cell>
          <cell r="B130" t="str">
            <v>Biskuit KOKOLA MALKIS 438 gr</v>
          </cell>
          <cell r="C130">
            <v>12</v>
          </cell>
          <cell r="D130" t="str">
            <v>pcs</v>
          </cell>
          <cell r="E130">
            <v>114200</v>
          </cell>
          <cell r="G130">
            <v>9516.6666666666661</v>
          </cell>
          <cell r="H130">
            <v>11000</v>
          </cell>
          <cell r="I130" t="str">
            <v>pc</v>
          </cell>
          <cell r="J130">
            <v>10500</v>
          </cell>
          <cell r="K130" t="str">
            <v>pc</v>
          </cell>
          <cell r="L130">
            <v>10000</v>
          </cell>
          <cell r="M130" t="str">
            <v>pc</v>
          </cell>
        </row>
        <row r="131">
          <cell r="A131" t="str">
            <v>KMALKIS262</v>
          </cell>
          <cell r="B131" t="str">
            <v>Biskuit KOKOLA MALKIS 262 gr</v>
          </cell>
          <cell r="C131">
            <v>6</v>
          </cell>
          <cell r="D131" t="str">
            <v>pcs</v>
          </cell>
          <cell r="E131">
            <v>30333.333333333332</v>
          </cell>
          <cell r="F131">
            <v>60666.666666666672</v>
          </cell>
          <cell r="G131">
            <v>5055.5555555555557</v>
          </cell>
          <cell r="H131">
            <v>6500</v>
          </cell>
          <cell r="I131" t="str">
            <v>pc</v>
          </cell>
          <cell r="J131">
            <v>6000</v>
          </cell>
          <cell r="K131" t="str">
            <v>pc</v>
          </cell>
          <cell r="L131">
            <v>5600</v>
          </cell>
          <cell r="M131" t="str">
            <v>pc</v>
          </cell>
          <cell r="T131">
            <v>64000</v>
          </cell>
          <cell r="U131">
            <v>12</v>
          </cell>
          <cell r="V131" t="str">
            <v>lsn</v>
          </cell>
          <cell r="Y131">
            <v>5400</v>
          </cell>
          <cell r="Z131" t="str">
            <v>pc</v>
          </cell>
          <cell r="AA131">
            <v>95000</v>
          </cell>
          <cell r="AB131" t="str">
            <v>dos</v>
          </cell>
        </row>
        <row r="132">
          <cell r="A132" t="str">
            <v>KMALKIS132</v>
          </cell>
          <cell r="B132" t="str">
            <v>Biskuit KOKOLA MALKIS 132 gr</v>
          </cell>
          <cell r="C132">
            <v>24</v>
          </cell>
          <cell r="D132" t="str">
            <v>pcs</v>
          </cell>
          <cell r="E132">
            <v>95000</v>
          </cell>
          <cell r="F132">
            <v>47500</v>
          </cell>
          <cell r="G132">
            <v>3958.3333333333335</v>
          </cell>
          <cell r="H132">
            <v>5000</v>
          </cell>
          <cell r="I132" t="str">
            <v>pc</v>
          </cell>
          <cell r="J132">
            <v>4700</v>
          </cell>
          <cell r="K132" t="str">
            <v>pc</v>
          </cell>
          <cell r="L132">
            <v>4500</v>
          </cell>
          <cell r="M132" t="str">
            <v>pc</v>
          </cell>
          <cell r="T132">
            <v>50000</v>
          </cell>
          <cell r="U132">
            <v>12</v>
          </cell>
          <cell r="V132" t="str">
            <v>lsn</v>
          </cell>
          <cell r="W132">
            <v>4100</v>
          </cell>
          <cell r="X132" t="str">
            <v>pc</v>
          </cell>
          <cell r="Y132">
            <v>4200</v>
          </cell>
          <cell r="Z132" t="str">
            <v>pc</v>
          </cell>
        </row>
        <row r="133">
          <cell r="A133" t="str">
            <v>KPUFF85</v>
          </cell>
          <cell r="B133" t="str">
            <v>Biskuit KOKOLA PUFF 85 gr</v>
          </cell>
          <cell r="C133">
            <v>10</v>
          </cell>
          <cell r="D133" t="str">
            <v>pcs</v>
          </cell>
          <cell r="E133">
            <v>19166.666666666668</v>
          </cell>
          <cell r="F133">
            <v>57500</v>
          </cell>
          <cell r="G133">
            <v>1916.6666666666667</v>
          </cell>
          <cell r="H133">
            <v>3000</v>
          </cell>
          <cell r="I133" t="str">
            <v>pc</v>
          </cell>
          <cell r="J133">
            <v>2700</v>
          </cell>
          <cell r="K133" t="str">
            <v>pc</v>
          </cell>
          <cell r="L133">
            <v>2300</v>
          </cell>
          <cell r="M133" t="str">
            <v>pc</v>
          </cell>
          <cell r="Q133">
            <v>22000</v>
          </cell>
          <cell r="R133">
            <v>10</v>
          </cell>
          <cell r="S133" t="str">
            <v>pak</v>
          </cell>
          <cell r="W133">
            <v>2000</v>
          </cell>
          <cell r="X133" t="str">
            <v>pc</v>
          </cell>
          <cell r="Y133">
            <v>2200</v>
          </cell>
          <cell r="Z133" t="str">
            <v>pc</v>
          </cell>
          <cell r="AA133">
            <v>76500</v>
          </cell>
          <cell r="AB133" t="str">
            <v>dos</v>
          </cell>
        </row>
        <row r="134">
          <cell r="A134" t="str">
            <v>KABON</v>
          </cell>
          <cell r="B134" t="str">
            <v>Biskuit Khong Guan Malkist Abon 145 gr</v>
          </cell>
          <cell r="C134">
            <v>20</v>
          </cell>
          <cell r="D134" t="str">
            <v>pcs</v>
          </cell>
          <cell r="E134">
            <v>93000</v>
          </cell>
          <cell r="F134">
            <v>55800</v>
          </cell>
          <cell r="G134">
            <v>4650</v>
          </cell>
          <cell r="S134" t="str">
            <v/>
          </cell>
        </row>
        <row r="135">
          <cell r="A135" t="str">
            <v>KUKIS115</v>
          </cell>
          <cell r="B135" t="str">
            <v>Biskuit Kokola  Kukis n Krim Roll 115 gr</v>
          </cell>
          <cell r="C135">
            <v>10</v>
          </cell>
          <cell r="D135" t="str">
            <v>pcs</v>
          </cell>
          <cell r="E135">
            <v>24500</v>
          </cell>
          <cell r="F135">
            <v>73500</v>
          </cell>
          <cell r="G135">
            <v>2450</v>
          </cell>
          <cell r="H135">
            <v>4000</v>
          </cell>
          <cell r="I135" t="str">
            <v>pc</v>
          </cell>
          <cell r="J135">
            <v>3000</v>
          </cell>
          <cell r="K135" t="str">
            <v>pc</v>
          </cell>
          <cell r="L135">
            <v>2800</v>
          </cell>
          <cell r="M135" t="str">
            <v>pc</v>
          </cell>
          <cell r="Q135">
            <v>27000</v>
          </cell>
          <cell r="R135">
            <v>10</v>
          </cell>
          <cell r="S135" t="str">
            <v>pak</v>
          </cell>
          <cell r="W135">
            <v>2600</v>
          </cell>
          <cell r="X135" t="str">
            <v>pc</v>
          </cell>
          <cell r="Y135">
            <v>2700</v>
          </cell>
          <cell r="Z135" t="str">
            <v>pc</v>
          </cell>
          <cell r="AA135">
            <v>77000</v>
          </cell>
          <cell r="AB135" t="str">
            <v>dos</v>
          </cell>
        </row>
        <row r="136">
          <cell r="A136" t="str">
            <v>KUKISP</v>
          </cell>
          <cell r="B136" t="str">
            <v>Biskuit Kukis n Krim Roll pak isi 12</v>
          </cell>
          <cell r="C136">
            <v>12</v>
          </cell>
          <cell r="D136" t="str">
            <v>pcs</v>
          </cell>
          <cell r="E136">
            <v>9833.3333333333339</v>
          </cell>
          <cell r="F136">
            <v>59000</v>
          </cell>
          <cell r="G136">
            <v>819.44444444444446</v>
          </cell>
        </row>
        <row r="137">
          <cell r="A137" t="str">
            <v>KOKOLA250</v>
          </cell>
          <cell r="B137" t="str">
            <v>Biskuit Kokola  250 gr</v>
          </cell>
          <cell r="C137">
            <v>6</v>
          </cell>
          <cell r="D137" t="str">
            <v>pcs</v>
          </cell>
          <cell r="E137">
            <v>31000</v>
          </cell>
          <cell r="F137">
            <v>93000</v>
          </cell>
          <cell r="G137">
            <v>5166.666666666667</v>
          </cell>
          <cell r="H137">
            <v>6500</v>
          </cell>
          <cell r="I137" t="str">
            <v>pc</v>
          </cell>
          <cell r="J137">
            <v>6500</v>
          </cell>
          <cell r="K137" t="str">
            <v>pc</v>
          </cell>
          <cell r="L137">
            <v>6000</v>
          </cell>
          <cell r="M137" t="str">
            <v>pc</v>
          </cell>
          <cell r="W137">
            <v>5900</v>
          </cell>
          <cell r="X137" t="str">
            <v>pc</v>
          </cell>
          <cell r="Y137">
            <v>5900</v>
          </cell>
          <cell r="Z137" t="str">
            <v>pc</v>
          </cell>
        </row>
        <row r="138">
          <cell r="A138" t="str">
            <v>KOKOLA145</v>
          </cell>
          <cell r="B138" t="str">
            <v>Biskuit Kokola wafer 145  gr</v>
          </cell>
          <cell r="C138">
            <v>23</v>
          </cell>
          <cell r="D138" t="str">
            <v>pcs</v>
          </cell>
          <cell r="E138">
            <v>99000</v>
          </cell>
          <cell r="F138">
            <v>51652.173913043487</v>
          </cell>
          <cell r="G138">
            <v>4304.347826086957</v>
          </cell>
          <cell r="H138">
            <v>5500</v>
          </cell>
          <cell r="I138" t="str">
            <v>pc</v>
          </cell>
          <cell r="J138">
            <v>5000</v>
          </cell>
          <cell r="K138" t="str">
            <v>pc</v>
          </cell>
          <cell r="L138">
            <v>4700</v>
          </cell>
          <cell r="M138" t="str">
            <v>pc</v>
          </cell>
          <cell r="T138">
            <v>54000</v>
          </cell>
          <cell r="U138">
            <v>12</v>
          </cell>
          <cell r="V138" t="str">
            <v>lsn</v>
          </cell>
          <cell r="W138">
            <v>4400</v>
          </cell>
          <cell r="X138" t="str">
            <v>pc</v>
          </cell>
          <cell r="Y138">
            <v>4500</v>
          </cell>
          <cell r="Z138" t="str">
            <v>pc</v>
          </cell>
        </row>
        <row r="139">
          <cell r="A139" t="str">
            <v>CREAMY</v>
          </cell>
          <cell r="B139" t="str">
            <v xml:space="preserve">Biskuit Kokola CREAMY </v>
          </cell>
          <cell r="C139">
            <v>18</v>
          </cell>
          <cell r="D139" t="str">
            <v>pcs</v>
          </cell>
          <cell r="E139">
            <v>73000</v>
          </cell>
          <cell r="F139">
            <v>48666.666666666672</v>
          </cell>
          <cell r="G139">
            <v>4055.5555555555557</v>
          </cell>
          <cell r="H139">
            <v>5000</v>
          </cell>
          <cell r="I139" t="str">
            <v>pc</v>
          </cell>
          <cell r="J139">
            <v>4500</v>
          </cell>
          <cell r="K139" t="str">
            <v>pc</v>
          </cell>
          <cell r="L139">
            <v>4350</v>
          </cell>
          <cell r="M139" t="str">
            <v>pc</v>
          </cell>
          <cell r="T139">
            <v>51000</v>
          </cell>
          <cell r="U139">
            <v>12</v>
          </cell>
          <cell r="V139" t="str">
            <v>lsn</v>
          </cell>
          <cell r="W139">
            <v>4200</v>
          </cell>
          <cell r="X139" t="str">
            <v>pc</v>
          </cell>
          <cell r="Y139">
            <v>4250</v>
          </cell>
          <cell r="Z139" t="str">
            <v>pc</v>
          </cell>
        </row>
        <row r="140">
          <cell r="A140" t="str">
            <v>SUPERCREAM</v>
          </cell>
          <cell r="B140" t="str">
            <v xml:space="preserve">Biskuit Super Cream </v>
          </cell>
          <cell r="C140">
            <v>7</v>
          </cell>
          <cell r="D140" t="str">
            <v>pcs</v>
          </cell>
          <cell r="E140">
            <v>34333</v>
          </cell>
          <cell r="F140">
            <v>91000</v>
          </cell>
          <cell r="G140">
            <v>4904.7142857142853</v>
          </cell>
          <cell r="H140">
            <v>6500</v>
          </cell>
          <cell r="I140" t="str">
            <v>pc</v>
          </cell>
          <cell r="J140">
            <v>6000</v>
          </cell>
          <cell r="K140" t="str">
            <v>pc</v>
          </cell>
          <cell r="L140">
            <v>5500</v>
          </cell>
          <cell r="M140" t="str">
            <v>pc</v>
          </cell>
          <cell r="Y140">
            <v>5500</v>
          </cell>
        </row>
        <row r="141">
          <cell r="A141" t="str">
            <v>ROSE260</v>
          </cell>
          <cell r="B141" t="str">
            <v>Biskuit Kokola ROSE Cream 260 gr</v>
          </cell>
          <cell r="C141">
            <v>10</v>
          </cell>
          <cell r="D141" t="str">
            <v>pcs</v>
          </cell>
          <cell r="E141">
            <v>52500</v>
          </cell>
          <cell r="F141">
            <v>63000</v>
          </cell>
          <cell r="G141">
            <v>5250</v>
          </cell>
          <cell r="H141">
            <v>6500</v>
          </cell>
          <cell r="I141" t="str">
            <v>pc</v>
          </cell>
          <cell r="J141">
            <v>6000</v>
          </cell>
          <cell r="K141" t="str">
            <v>pc</v>
          </cell>
          <cell r="L141">
            <v>5700</v>
          </cell>
          <cell r="M141" t="str">
            <v>pc</v>
          </cell>
          <cell r="T141">
            <v>66000</v>
          </cell>
          <cell r="U141">
            <v>12</v>
          </cell>
          <cell r="V141" t="str">
            <v>lsn</v>
          </cell>
          <cell r="W141">
            <v>5400</v>
          </cell>
          <cell r="X141" t="str">
            <v>pc</v>
          </cell>
          <cell r="Y141">
            <v>5500</v>
          </cell>
          <cell r="Z141" t="str">
            <v>pc</v>
          </cell>
        </row>
        <row r="142">
          <cell r="A142" t="str">
            <v>SUSUMADU180</v>
          </cell>
          <cell r="B142" t="str">
            <v>Biskuit MARI SUSU MADU  180 GR</v>
          </cell>
          <cell r="C142">
            <v>24</v>
          </cell>
          <cell r="D142" t="str">
            <v>pcs</v>
          </cell>
          <cell r="E142">
            <v>121000</v>
          </cell>
          <cell r="F142">
            <v>60500</v>
          </cell>
          <cell r="G142">
            <v>5041.666666666667</v>
          </cell>
          <cell r="H142">
            <v>6500</v>
          </cell>
          <cell r="I142" t="str">
            <v>pc</v>
          </cell>
          <cell r="J142">
            <v>6500</v>
          </cell>
          <cell r="K142" t="str">
            <v>pc</v>
          </cell>
          <cell r="L142">
            <v>6000</v>
          </cell>
          <cell r="M142" t="str">
            <v>pc</v>
          </cell>
          <cell r="T142">
            <v>61000</v>
          </cell>
          <cell r="U142">
            <v>12</v>
          </cell>
          <cell r="V142" t="str">
            <v>lsn</v>
          </cell>
          <cell r="W142">
            <v>5100</v>
          </cell>
          <cell r="X142" t="str">
            <v>pc</v>
          </cell>
          <cell r="Y142">
            <v>5200</v>
          </cell>
          <cell r="Z142" t="str">
            <v>pc</v>
          </cell>
        </row>
        <row r="143">
          <cell r="A143" t="str">
            <v>SUSUMADU120</v>
          </cell>
          <cell r="B143" t="str">
            <v>Biskuit MARI SUSU MADU  120 GR</v>
          </cell>
          <cell r="C143">
            <v>6</v>
          </cell>
          <cell r="D143" t="str">
            <v>pcs</v>
          </cell>
          <cell r="E143">
            <v>20916.666666666668</v>
          </cell>
          <cell r="F143">
            <v>125500</v>
          </cell>
          <cell r="G143">
            <v>3486.1111111111113</v>
          </cell>
          <cell r="H143">
            <v>5000</v>
          </cell>
          <cell r="I143" t="str">
            <v>pc</v>
          </cell>
          <cell r="J143">
            <v>5000</v>
          </cell>
          <cell r="K143" t="str">
            <v>pc</v>
          </cell>
          <cell r="L143">
            <v>4400</v>
          </cell>
          <cell r="M143" t="str">
            <v>pc</v>
          </cell>
          <cell r="Q143">
            <v>24000</v>
          </cell>
          <cell r="R143">
            <v>6</v>
          </cell>
          <cell r="S143" t="str">
            <v>pak</v>
          </cell>
          <cell r="W143">
            <v>4000</v>
          </cell>
          <cell r="X143" t="str">
            <v>pc</v>
          </cell>
          <cell r="Y143">
            <v>4100</v>
          </cell>
          <cell r="Z143" t="str">
            <v>pc</v>
          </cell>
        </row>
        <row r="144">
          <cell r="A144" t="str">
            <v>MONA</v>
          </cell>
          <cell r="B144" t="str">
            <v>Biskuit Mona</v>
          </cell>
          <cell r="C144">
            <v>20</v>
          </cell>
          <cell r="D144" t="str">
            <v>pcs</v>
          </cell>
          <cell r="E144">
            <v>105000</v>
          </cell>
          <cell r="F144">
            <v>63000</v>
          </cell>
          <cell r="G144">
            <v>5250</v>
          </cell>
        </row>
        <row r="145">
          <cell r="A145" t="str">
            <v>MONTEGOP</v>
          </cell>
          <cell r="B145" t="str">
            <v>Biskuit Montego Pak 12</v>
          </cell>
          <cell r="C145">
            <v>12</v>
          </cell>
          <cell r="D145" t="str">
            <v>pcs</v>
          </cell>
          <cell r="E145">
            <v>9700</v>
          </cell>
          <cell r="F145">
            <v>97000</v>
          </cell>
          <cell r="G145">
            <v>808.33333333333337</v>
          </cell>
          <cell r="H145">
            <v>1000</v>
          </cell>
          <cell r="I145" t="str">
            <v>pc</v>
          </cell>
          <cell r="Q145">
            <v>11000</v>
          </cell>
          <cell r="R145">
            <v>12</v>
          </cell>
          <cell r="S145" t="str">
            <v>pak</v>
          </cell>
        </row>
        <row r="146">
          <cell r="A146" t="str">
            <v>MONTEGOB</v>
          </cell>
          <cell r="B146" t="str">
            <v>Biskuit Montego Pak Besar</v>
          </cell>
          <cell r="C146">
            <v>30</v>
          </cell>
          <cell r="D146" t="str">
            <v>pcs</v>
          </cell>
          <cell r="E146">
            <v>79500</v>
          </cell>
          <cell r="F146">
            <v>31800</v>
          </cell>
          <cell r="G146">
            <v>2650</v>
          </cell>
        </row>
        <row r="147">
          <cell r="A147" t="str">
            <v>MONTEGO225</v>
          </cell>
          <cell r="B147" t="str">
            <v>Biskuit Montego Gold 225 gr</v>
          </cell>
          <cell r="C147">
            <v>12</v>
          </cell>
          <cell r="D147" t="str">
            <v>pcs</v>
          </cell>
          <cell r="E147">
            <v>243000</v>
          </cell>
          <cell r="F147">
            <v>243000</v>
          </cell>
          <cell r="G147">
            <v>20250</v>
          </cell>
          <cell r="H147">
            <v>25000</v>
          </cell>
          <cell r="I147" t="str">
            <v>pc</v>
          </cell>
          <cell r="J147">
            <v>24500</v>
          </cell>
          <cell r="K147" t="str">
            <v>pc</v>
          </cell>
          <cell r="L147">
            <v>24500</v>
          </cell>
          <cell r="M147" t="str">
            <v>pc</v>
          </cell>
          <cell r="T147">
            <v>253000</v>
          </cell>
          <cell r="U147">
            <v>12</v>
          </cell>
          <cell r="V147" t="str">
            <v>lsn</v>
          </cell>
          <cell r="AA147">
            <v>253000</v>
          </cell>
          <cell r="AB147" t="str">
            <v>dos</v>
          </cell>
        </row>
        <row r="148">
          <cell r="A148" t="str">
            <v>CRISPY</v>
          </cell>
          <cell r="B148" t="str">
            <v>Biskuit Nisin Crispi</v>
          </cell>
          <cell r="C148">
            <v>30</v>
          </cell>
          <cell r="D148" t="str">
            <v>pcs</v>
          </cell>
          <cell r="E148">
            <v>228000</v>
          </cell>
          <cell r="F148">
            <v>91200</v>
          </cell>
          <cell r="G148">
            <v>7600</v>
          </cell>
          <cell r="H148">
            <v>8500</v>
          </cell>
          <cell r="I148" t="str">
            <v>pc</v>
          </cell>
          <cell r="J148">
            <v>8300</v>
          </cell>
          <cell r="K148" t="str">
            <v>pc</v>
          </cell>
          <cell r="L148">
            <v>8000</v>
          </cell>
          <cell r="M148" t="str">
            <v>pc</v>
          </cell>
          <cell r="T148">
            <v>94000</v>
          </cell>
          <cell r="U148">
            <v>12</v>
          </cell>
          <cell r="V148" t="str">
            <v>lsn</v>
          </cell>
          <cell r="W148">
            <v>7800</v>
          </cell>
          <cell r="X148" t="str">
            <v>pc</v>
          </cell>
          <cell r="Y148">
            <v>7900</v>
          </cell>
          <cell r="Z148" t="str">
            <v>pc</v>
          </cell>
        </row>
        <row r="149">
          <cell r="A149" t="str">
            <v>GABINN</v>
          </cell>
          <cell r="B149" t="str">
            <v>Biskuit Nissin Gabin</v>
          </cell>
          <cell r="C149">
            <v>30</v>
          </cell>
          <cell r="D149" t="str">
            <v>pcs</v>
          </cell>
          <cell r="E149">
            <v>149000</v>
          </cell>
          <cell r="F149">
            <v>59600</v>
          </cell>
          <cell r="G149">
            <v>4966.666666666667</v>
          </cell>
          <cell r="H149">
            <v>6000</v>
          </cell>
          <cell r="I149" t="str">
            <v>pc</v>
          </cell>
          <cell r="J149">
            <v>6000</v>
          </cell>
          <cell r="K149" t="str">
            <v>pc</v>
          </cell>
          <cell r="L149">
            <v>5500</v>
          </cell>
          <cell r="M149" t="str">
            <v>pc</v>
          </cell>
          <cell r="T149">
            <v>62000</v>
          </cell>
          <cell r="U149">
            <v>12</v>
          </cell>
          <cell r="V149" t="str">
            <v>lsn</v>
          </cell>
          <cell r="W149">
            <v>5100</v>
          </cell>
          <cell r="X149" t="str">
            <v>pc</v>
          </cell>
          <cell r="Y149">
            <v>5300</v>
          </cell>
          <cell r="Z149" t="str">
            <v>pc</v>
          </cell>
        </row>
        <row r="150">
          <cell r="A150" t="str">
            <v>GABINW</v>
          </cell>
          <cell r="B150" t="str">
            <v>Biskuit Gabin Wijen</v>
          </cell>
          <cell r="C150">
            <v>20</v>
          </cell>
          <cell r="D150" t="str">
            <v>pcs</v>
          </cell>
          <cell r="E150">
            <v>160500</v>
          </cell>
          <cell r="F150">
            <v>96300</v>
          </cell>
          <cell r="G150">
            <v>8025</v>
          </cell>
          <cell r="H150">
            <v>9000</v>
          </cell>
          <cell r="I150" t="str">
            <v>pc</v>
          </cell>
          <cell r="J150">
            <v>8700</v>
          </cell>
          <cell r="K150" t="str">
            <v>pc</v>
          </cell>
          <cell r="L150">
            <v>8500</v>
          </cell>
          <cell r="M150" t="str">
            <v>pc</v>
          </cell>
          <cell r="T150">
            <v>100000</v>
          </cell>
          <cell r="U150">
            <v>12</v>
          </cell>
          <cell r="V150" t="str">
            <v>lsn</v>
          </cell>
          <cell r="W150">
            <v>8300</v>
          </cell>
          <cell r="X150" t="str">
            <v>pc</v>
          </cell>
          <cell r="Y150">
            <v>8333.3333333333339</v>
          </cell>
          <cell r="Z150" t="str">
            <v>pc</v>
          </cell>
          <cell r="AA150">
            <v>163500</v>
          </cell>
          <cell r="AB150" t="str">
            <v>dos</v>
          </cell>
        </row>
        <row r="151">
          <cell r="A151" t="str">
            <v>WIJENK</v>
          </cell>
          <cell r="B151" t="str">
            <v>Biskuit Gabin Wijen 99 KECIL</v>
          </cell>
          <cell r="C151">
            <v>36</v>
          </cell>
          <cell r="D151" t="str">
            <v>pcs</v>
          </cell>
          <cell r="E151">
            <v>138000</v>
          </cell>
          <cell r="F151">
            <v>46000</v>
          </cell>
          <cell r="G151">
            <v>3833.3333333333335</v>
          </cell>
          <cell r="H151">
            <v>5000</v>
          </cell>
          <cell r="I151" t="str">
            <v>pc</v>
          </cell>
          <cell r="J151">
            <v>4500</v>
          </cell>
          <cell r="K151" t="str">
            <v>pc</v>
          </cell>
          <cell r="L151">
            <v>4300</v>
          </cell>
          <cell r="M151" t="str">
            <v>pc</v>
          </cell>
          <cell r="T151">
            <v>48500</v>
          </cell>
          <cell r="U151">
            <v>12</v>
          </cell>
          <cell r="V151" t="str">
            <v>lsn</v>
          </cell>
          <cell r="W151">
            <v>4000</v>
          </cell>
          <cell r="X151" t="str">
            <v>pc</v>
          </cell>
          <cell r="Y151">
            <v>4100</v>
          </cell>
          <cell r="Z151" t="str">
            <v>pc</v>
          </cell>
          <cell r="AB151" t="str">
            <v>dos</v>
          </cell>
        </row>
        <row r="152">
          <cell r="A152" t="str">
            <v>BANKET</v>
          </cell>
          <cell r="B152" t="str">
            <v>Biskuit Ria Banket</v>
          </cell>
          <cell r="C152">
            <v>10</v>
          </cell>
          <cell r="D152" t="str">
            <v>pcs</v>
          </cell>
          <cell r="E152">
            <v>128000</v>
          </cell>
          <cell r="F152">
            <v>153600</v>
          </cell>
          <cell r="G152">
            <v>12800</v>
          </cell>
          <cell r="H152">
            <v>14000</v>
          </cell>
          <cell r="I152" t="str">
            <v>pc</v>
          </cell>
          <cell r="J152">
            <v>13700</v>
          </cell>
          <cell r="K152" t="str">
            <v>pc</v>
          </cell>
          <cell r="L152">
            <v>13500</v>
          </cell>
          <cell r="M152" t="str">
            <v>pc</v>
          </cell>
          <cell r="AB152" t="str">
            <v>dos</v>
          </cell>
        </row>
        <row r="153">
          <cell r="A153" t="str">
            <v>DUAPADI</v>
          </cell>
          <cell r="B153" t="str">
            <v>Biskuit DUA PADI</v>
          </cell>
          <cell r="C153">
            <v>10</v>
          </cell>
          <cell r="D153" t="str">
            <v>pcs</v>
          </cell>
          <cell r="E153">
            <v>113000</v>
          </cell>
          <cell r="F153">
            <v>135600</v>
          </cell>
          <cell r="G153">
            <v>11300</v>
          </cell>
          <cell r="H153">
            <v>13000</v>
          </cell>
          <cell r="I153" t="str">
            <v>pc</v>
          </cell>
          <cell r="J153">
            <v>12500</v>
          </cell>
          <cell r="K153" t="str">
            <v>pc</v>
          </cell>
          <cell r="L153">
            <v>12000</v>
          </cell>
          <cell r="M153" t="str">
            <v>pc</v>
          </cell>
          <cell r="T153">
            <v>139000</v>
          </cell>
          <cell r="U153">
            <v>12</v>
          </cell>
          <cell r="V153" t="str">
            <v>lsn</v>
          </cell>
          <cell r="W153">
            <v>11500</v>
          </cell>
          <cell r="Y153">
            <v>11600</v>
          </cell>
          <cell r="Z153" t="str">
            <v>pc</v>
          </cell>
        </row>
        <row r="154">
          <cell r="A154" t="str">
            <v>FELICIA</v>
          </cell>
          <cell r="B154" t="str">
            <v>Biskuit FELICIA</v>
          </cell>
          <cell r="C154">
            <v>10</v>
          </cell>
          <cell r="D154" t="str">
            <v>pcs</v>
          </cell>
          <cell r="E154">
            <v>109000</v>
          </cell>
          <cell r="F154">
            <v>130800</v>
          </cell>
          <cell r="G154">
            <v>10900</v>
          </cell>
          <cell r="H154">
            <v>12000</v>
          </cell>
          <cell r="I154" t="str">
            <v>pc</v>
          </cell>
          <cell r="J154">
            <v>11600</v>
          </cell>
          <cell r="K154" t="str">
            <v>pc</v>
          </cell>
          <cell r="L154">
            <v>11200</v>
          </cell>
          <cell r="M154" t="str">
            <v>pc</v>
          </cell>
          <cell r="T154">
            <v>134000</v>
          </cell>
          <cell r="U154">
            <v>12</v>
          </cell>
          <cell r="V154" t="str">
            <v>lsn</v>
          </cell>
          <cell r="W154">
            <v>11100</v>
          </cell>
          <cell r="X154" t="str">
            <v>pc</v>
          </cell>
          <cell r="Y154">
            <v>11166.666666666666</v>
          </cell>
          <cell r="Z154" t="str">
            <v>pc</v>
          </cell>
          <cell r="AA154">
            <v>113000</v>
          </cell>
          <cell r="AB154" t="str">
            <v>dos</v>
          </cell>
        </row>
        <row r="155">
          <cell r="A155" t="str">
            <v>CHOCO150</v>
          </cell>
          <cell r="B155" t="str">
            <v>Biskuit CHOCO 150 GR</v>
          </cell>
          <cell r="C155">
            <v>24</v>
          </cell>
          <cell r="D155" t="str">
            <v>pcs</v>
          </cell>
          <cell r="E155">
            <v>91500</v>
          </cell>
          <cell r="F155">
            <v>45750</v>
          </cell>
          <cell r="G155">
            <v>3812.5</v>
          </cell>
          <cell r="H155">
            <v>5000</v>
          </cell>
          <cell r="I155" t="str">
            <v>pc</v>
          </cell>
          <cell r="J155">
            <v>4600</v>
          </cell>
          <cell r="K155" t="str">
            <v>pc</v>
          </cell>
          <cell r="L155">
            <v>4200</v>
          </cell>
          <cell r="M155" t="str">
            <v>pc</v>
          </cell>
          <cell r="T155">
            <v>48500</v>
          </cell>
          <cell r="U155">
            <v>12</v>
          </cell>
          <cell r="V155" t="str">
            <v>lsn</v>
          </cell>
          <cell r="W155">
            <v>4000</v>
          </cell>
          <cell r="X155" t="str">
            <v>pc</v>
          </cell>
          <cell r="Y155">
            <v>4041.6666666666665</v>
          </cell>
          <cell r="Z155" t="str">
            <v>pc</v>
          </cell>
          <cell r="AA155">
            <v>95000</v>
          </cell>
          <cell r="AB155" t="str">
            <v>dos</v>
          </cell>
        </row>
        <row r="156">
          <cell r="A156" t="str">
            <v>KELAPAP</v>
          </cell>
          <cell r="B156" t="str">
            <v>Biskuit BOGABIS PANDAN Kelapa pak isi 6</v>
          </cell>
          <cell r="C156">
            <v>6</v>
          </cell>
          <cell r="D156" t="str">
            <v>pak</v>
          </cell>
          <cell r="E156">
            <v>30000</v>
          </cell>
          <cell r="F156">
            <v>120000</v>
          </cell>
          <cell r="G156">
            <v>5000</v>
          </cell>
          <cell r="H156">
            <v>6000</v>
          </cell>
          <cell r="I156" t="str">
            <v>pc</v>
          </cell>
          <cell r="J156">
            <v>6000</v>
          </cell>
          <cell r="K156" t="str">
            <v>pc</v>
          </cell>
          <cell r="L156">
            <v>5700</v>
          </cell>
          <cell r="M156" t="str">
            <v>pc</v>
          </cell>
          <cell r="Q156">
            <v>33000</v>
          </cell>
          <cell r="R156">
            <v>6</v>
          </cell>
          <cell r="S156" t="str">
            <v>pak</v>
          </cell>
          <cell r="W156">
            <v>5400</v>
          </cell>
          <cell r="X156" t="str">
            <v>pc</v>
          </cell>
          <cell r="Y156">
            <v>5500</v>
          </cell>
          <cell r="Z156" t="str">
            <v>pc</v>
          </cell>
        </row>
        <row r="157">
          <cell r="A157" t="str">
            <v>BOGABIS180</v>
          </cell>
          <cell r="B157" t="str">
            <v>Biskuit BOGABIS CREAM 180 isi 5</v>
          </cell>
          <cell r="C157">
            <v>5</v>
          </cell>
          <cell r="D157" t="str">
            <v>pak</v>
          </cell>
          <cell r="E157">
            <v>25800</v>
          </cell>
          <cell r="F157">
            <v>92000</v>
          </cell>
          <cell r="G157">
            <v>5160</v>
          </cell>
          <cell r="H157">
            <v>6000</v>
          </cell>
          <cell r="I157" t="str">
            <v>pc</v>
          </cell>
          <cell r="J157">
            <v>6000</v>
          </cell>
          <cell r="K157" t="str">
            <v>pc</v>
          </cell>
          <cell r="L157">
            <v>5600</v>
          </cell>
          <cell r="M157" t="str">
            <v>pc</v>
          </cell>
          <cell r="Q157">
            <v>28000</v>
          </cell>
          <cell r="R157">
            <v>5</v>
          </cell>
          <cell r="S157" t="str">
            <v>pak</v>
          </cell>
          <cell r="W157">
            <v>5600</v>
          </cell>
          <cell r="X157" t="str">
            <v>pc</v>
          </cell>
          <cell r="Y157">
            <v>5600</v>
          </cell>
          <cell r="Z157" t="str">
            <v>pc</v>
          </cell>
        </row>
        <row r="158">
          <cell r="A158" t="str">
            <v>RSANDWICH216</v>
          </cell>
          <cell r="B158" t="str">
            <v>Biskuit Roma Sandwich 216</v>
          </cell>
          <cell r="C158">
            <v>7</v>
          </cell>
          <cell r="D158" t="str">
            <v>pak</v>
          </cell>
          <cell r="E158">
            <v>34300.01666666667</v>
          </cell>
          <cell r="F158">
            <v>205800.1</v>
          </cell>
          <cell r="G158">
            <v>4900.0023809523818</v>
          </cell>
          <cell r="H158">
            <v>6500</v>
          </cell>
          <cell r="I158" t="str">
            <v>pc</v>
          </cell>
          <cell r="J158">
            <v>6500</v>
          </cell>
          <cell r="K158" t="str">
            <v>pc</v>
          </cell>
          <cell r="L158">
            <v>5600</v>
          </cell>
          <cell r="M158" t="str">
            <v>pc</v>
          </cell>
          <cell r="Q158">
            <v>37000</v>
          </cell>
          <cell r="R158">
            <v>7</v>
          </cell>
          <cell r="S158" t="str">
            <v>pak</v>
          </cell>
          <cell r="W158">
            <v>5200</v>
          </cell>
          <cell r="X158" t="str">
            <v>pc</v>
          </cell>
          <cell r="Y158">
            <v>5300</v>
          </cell>
          <cell r="Z158" t="str">
            <v>pc</v>
          </cell>
        </row>
        <row r="159">
          <cell r="A159" t="str">
            <v>RKELAPA300</v>
          </cell>
          <cell r="B159" t="str">
            <v>Biskuit Roma Kelapa pak isi 7 x 300 gr</v>
          </cell>
          <cell r="C159">
            <v>7</v>
          </cell>
          <cell r="D159" t="str">
            <v>pak</v>
          </cell>
          <cell r="E159">
            <v>46399.925000000003</v>
          </cell>
          <cell r="F159">
            <v>185599.7</v>
          </cell>
          <cell r="G159">
            <v>6628.5607142857143</v>
          </cell>
          <cell r="H159">
            <v>7500</v>
          </cell>
          <cell r="I159" t="str">
            <v>pc</v>
          </cell>
          <cell r="J159">
            <v>7500</v>
          </cell>
          <cell r="K159" t="str">
            <v>pc</v>
          </cell>
          <cell r="L159">
            <v>7200</v>
          </cell>
          <cell r="M159" t="str">
            <v>pc</v>
          </cell>
          <cell r="Q159">
            <v>49000</v>
          </cell>
          <cell r="R159">
            <v>7</v>
          </cell>
          <cell r="S159" t="str">
            <v>pak</v>
          </cell>
          <cell r="W159">
            <v>7000</v>
          </cell>
          <cell r="X159" t="str">
            <v>pc</v>
          </cell>
          <cell r="Y159">
            <v>7000</v>
          </cell>
          <cell r="Z159" t="str">
            <v>pc</v>
          </cell>
        </row>
        <row r="160">
          <cell r="A160" t="str">
            <v>RKELAPA27</v>
          </cell>
          <cell r="B160" t="str">
            <v>Biskuit Roma Kelapa Renteng 27 gr</v>
          </cell>
          <cell r="C160">
            <v>20</v>
          </cell>
          <cell r="D160" t="str">
            <v>pak</v>
          </cell>
          <cell r="E160">
            <v>16400.022222222222</v>
          </cell>
          <cell r="F160">
            <v>147600.20000000001</v>
          </cell>
          <cell r="G160">
            <v>820.00111111111107</v>
          </cell>
          <cell r="H160">
            <v>1000</v>
          </cell>
          <cell r="I160" t="str">
            <v>pc</v>
          </cell>
          <cell r="N160">
            <v>9000</v>
          </cell>
          <cell r="P160" t="str">
            <v>rtg</v>
          </cell>
        </row>
        <row r="161">
          <cell r="A161" t="str">
            <v>RKELAPA130</v>
          </cell>
          <cell r="B161" t="str">
            <v>Biskuit Roma Kelapa Sandwich Roll 130</v>
          </cell>
          <cell r="C161">
            <v>6</v>
          </cell>
          <cell r="D161" t="str">
            <v>pak</v>
          </cell>
          <cell r="E161">
            <v>33000</v>
          </cell>
          <cell r="F161">
            <v>132000</v>
          </cell>
          <cell r="G161">
            <v>5500</v>
          </cell>
          <cell r="H161">
            <v>6500</v>
          </cell>
          <cell r="I161" t="str">
            <v>pc</v>
          </cell>
          <cell r="J161">
            <v>6300</v>
          </cell>
          <cell r="K161" t="str">
            <v>pc</v>
          </cell>
          <cell r="L161">
            <v>6000</v>
          </cell>
          <cell r="M161" t="str">
            <v>pc</v>
          </cell>
          <cell r="Q161">
            <v>35500</v>
          </cell>
          <cell r="R161">
            <v>6</v>
          </cell>
          <cell r="S161" t="str">
            <v>pak</v>
          </cell>
          <cell r="W161">
            <v>5900</v>
          </cell>
          <cell r="X161" t="str">
            <v>pc</v>
          </cell>
          <cell r="Y161">
            <v>5916.666666666667</v>
          </cell>
          <cell r="Z161" t="str">
            <v>pc</v>
          </cell>
          <cell r="AA161">
            <v>135000</v>
          </cell>
          <cell r="AB161" t="str">
            <v>dos</v>
          </cell>
        </row>
        <row r="162">
          <cell r="A162" t="str">
            <v>KALPA</v>
          </cell>
          <cell r="B162" t="str">
            <v>Biskuit Roma Kalpa pak isi 12</v>
          </cell>
          <cell r="C162">
            <v>12</v>
          </cell>
          <cell r="D162" t="str">
            <v>pak</v>
          </cell>
          <cell r="E162">
            <v>18400</v>
          </cell>
          <cell r="F162">
            <v>73600</v>
          </cell>
          <cell r="G162">
            <v>1533.3333333333333</v>
          </cell>
          <cell r="H162">
            <v>2000</v>
          </cell>
          <cell r="I162" t="str">
            <v>pc</v>
          </cell>
          <cell r="Q162">
            <v>20000</v>
          </cell>
          <cell r="R162">
            <v>12</v>
          </cell>
          <cell r="S162" t="str">
            <v>pak</v>
          </cell>
        </row>
        <row r="163">
          <cell r="A163" t="str">
            <v>RCREAM40</v>
          </cell>
          <cell r="B163" t="str">
            <v>Biskuit Roma Kelapa Cream pak 40 gr</v>
          </cell>
          <cell r="C163">
            <v>12</v>
          </cell>
          <cell r="D163" t="str">
            <v>pak</v>
          </cell>
          <cell r="E163">
            <v>18499.983333333334</v>
          </cell>
          <cell r="F163">
            <v>110999.9</v>
          </cell>
          <cell r="G163">
            <v>1541.6652777777779</v>
          </cell>
          <cell r="Q163">
            <v>20000</v>
          </cell>
          <cell r="R163">
            <v>12</v>
          </cell>
          <cell r="S163" t="str">
            <v>pak</v>
          </cell>
        </row>
        <row r="164">
          <cell r="A164" t="str">
            <v>RCOKLAT1</v>
          </cell>
          <cell r="B164" t="str">
            <v>Biskuit Roma MALKIS Coklat Renteng</v>
          </cell>
          <cell r="C164">
            <v>10</v>
          </cell>
          <cell r="D164" t="str">
            <v>pak</v>
          </cell>
          <cell r="E164">
            <v>8200.0416666666661</v>
          </cell>
          <cell r="F164">
            <v>98400.5</v>
          </cell>
          <cell r="G164">
            <v>820.00416666666661</v>
          </cell>
          <cell r="Q164">
            <v>9000</v>
          </cell>
          <cell r="R164">
            <v>10</v>
          </cell>
          <cell r="S164" t="str">
            <v>pak</v>
          </cell>
        </row>
        <row r="165">
          <cell r="A165" t="str">
            <v>RABON1</v>
          </cell>
          <cell r="B165" t="str">
            <v>Biskuit Roma MALKIS ABON Renteng</v>
          </cell>
          <cell r="C165">
            <v>10</v>
          </cell>
          <cell r="D165" t="str">
            <v>pak</v>
          </cell>
          <cell r="E165">
            <v>8200.0416666666661</v>
          </cell>
          <cell r="F165">
            <v>98400.5</v>
          </cell>
          <cell r="G165">
            <v>820.00416666666661</v>
          </cell>
          <cell r="Q165">
            <v>9000</v>
          </cell>
          <cell r="R165">
            <v>10</v>
          </cell>
          <cell r="S165" t="str">
            <v>pak</v>
          </cell>
          <cell r="AA165">
            <v>101000</v>
          </cell>
          <cell r="AB165" t="str">
            <v>dos</v>
          </cell>
        </row>
        <row r="166">
          <cell r="A166" t="str">
            <v>RMALKIS54</v>
          </cell>
          <cell r="B166" t="str">
            <v>Biskuit Roma MALKIS 54 gr</v>
          </cell>
          <cell r="C166">
            <v>60</v>
          </cell>
          <cell r="D166" t="str">
            <v>pcs</v>
          </cell>
          <cell r="E166">
            <v>90000</v>
          </cell>
          <cell r="F166">
            <v>18000</v>
          </cell>
          <cell r="G166">
            <v>1500</v>
          </cell>
          <cell r="H166">
            <v>2500</v>
          </cell>
          <cell r="I166" t="str">
            <v>pc</v>
          </cell>
          <cell r="J166">
            <v>2500</v>
          </cell>
          <cell r="K166" t="str">
            <v>pc</v>
          </cell>
          <cell r="L166">
            <v>1800</v>
          </cell>
          <cell r="M166" t="str">
            <v>pc</v>
          </cell>
          <cell r="T166">
            <v>21000</v>
          </cell>
          <cell r="U166">
            <v>12</v>
          </cell>
          <cell r="V166" t="str">
            <v>lsn</v>
          </cell>
          <cell r="W166">
            <v>1700</v>
          </cell>
          <cell r="X166" t="str">
            <v>pc</v>
          </cell>
          <cell r="Y166">
            <v>1750</v>
          </cell>
          <cell r="Z166" t="str">
            <v>pc</v>
          </cell>
          <cell r="AA166">
            <v>93000</v>
          </cell>
          <cell r="AB166" t="str">
            <v>dos</v>
          </cell>
        </row>
        <row r="167">
          <cell r="A167" t="str">
            <v>RWAFER53</v>
          </cell>
          <cell r="B167" t="str">
            <v>Biskuit Roma WAFER 53 gr</v>
          </cell>
          <cell r="C167">
            <v>60</v>
          </cell>
          <cell r="D167" t="str">
            <v>pcs</v>
          </cell>
          <cell r="E167">
            <v>97200</v>
          </cell>
          <cell r="F167">
            <v>19440</v>
          </cell>
          <cell r="G167">
            <v>1620</v>
          </cell>
          <cell r="H167">
            <v>2500</v>
          </cell>
          <cell r="I167" t="str">
            <v>pc</v>
          </cell>
          <cell r="J167">
            <v>2500</v>
          </cell>
          <cell r="K167" t="str">
            <v>pc</v>
          </cell>
          <cell r="L167">
            <v>1900</v>
          </cell>
          <cell r="M167" t="str">
            <v>pc</v>
          </cell>
          <cell r="T167">
            <v>21500</v>
          </cell>
          <cell r="U167">
            <v>12</v>
          </cell>
          <cell r="V167" t="str">
            <v>lsn</v>
          </cell>
          <cell r="W167">
            <v>1750</v>
          </cell>
          <cell r="X167" t="str">
            <v>pc</v>
          </cell>
          <cell r="Y167">
            <v>1791.6666666666667</v>
          </cell>
          <cell r="Z167" t="str">
            <v>pc</v>
          </cell>
          <cell r="AA167">
            <v>100000</v>
          </cell>
          <cell r="AB167" t="str">
            <v>dos</v>
          </cell>
        </row>
        <row r="168">
          <cell r="A168" t="str">
            <v>RWAFER45</v>
          </cell>
          <cell r="B168" t="str">
            <v>Biskuit Roma WAFER 45 gr</v>
          </cell>
          <cell r="C168">
            <v>60</v>
          </cell>
          <cell r="D168" t="str">
            <v>pcs</v>
          </cell>
          <cell r="E168">
            <v>88364</v>
          </cell>
          <cell r="F168">
            <v>17672.8</v>
          </cell>
          <cell r="G168">
            <v>1472.7333333333333</v>
          </cell>
          <cell r="H168">
            <v>3000</v>
          </cell>
          <cell r="I168" t="str">
            <v>pc</v>
          </cell>
          <cell r="J168">
            <v>3000</v>
          </cell>
          <cell r="K168" t="str">
            <v>pc</v>
          </cell>
          <cell r="L168">
            <v>2500</v>
          </cell>
          <cell r="M168" t="str">
            <v>pc</v>
          </cell>
          <cell r="T168">
            <v>21500</v>
          </cell>
          <cell r="U168">
            <v>12</v>
          </cell>
          <cell r="V168" t="str">
            <v>lsn</v>
          </cell>
          <cell r="W168">
            <v>1750</v>
          </cell>
          <cell r="X168" t="str">
            <v>pc</v>
          </cell>
          <cell r="Y168">
            <v>1791.6666666666667</v>
          </cell>
          <cell r="Z168" t="str">
            <v>pc</v>
          </cell>
          <cell r="AA168">
            <v>100000</v>
          </cell>
          <cell r="AB168" t="str">
            <v>dos</v>
          </cell>
        </row>
        <row r="169">
          <cell r="A169" t="str">
            <v>RCOKLATK</v>
          </cell>
          <cell r="B169" t="str">
            <v>Biskuit Roma Malkis Coklat 120 gr</v>
          </cell>
          <cell r="C169">
            <v>6</v>
          </cell>
          <cell r="D169" t="str">
            <v>pak</v>
          </cell>
          <cell r="E169">
            <v>31600</v>
          </cell>
          <cell r="F169">
            <v>158000</v>
          </cell>
          <cell r="G169">
            <v>5266.666666666667</v>
          </cell>
          <cell r="H169">
            <v>6000</v>
          </cell>
          <cell r="I169" t="str">
            <v>pc</v>
          </cell>
          <cell r="J169">
            <v>6000</v>
          </cell>
          <cell r="K169" t="str">
            <v>pc</v>
          </cell>
          <cell r="L169">
            <v>5700</v>
          </cell>
          <cell r="M169" t="str">
            <v>pc</v>
          </cell>
          <cell r="Q169">
            <v>34000</v>
          </cell>
          <cell r="R169">
            <v>6</v>
          </cell>
          <cell r="S169" t="str">
            <v>pak</v>
          </cell>
          <cell r="W169">
            <v>5600</v>
          </cell>
          <cell r="X169" t="str">
            <v>pc</v>
          </cell>
          <cell r="Y169">
            <v>5666.666666666667</v>
          </cell>
          <cell r="Z169" t="str">
            <v>pc</v>
          </cell>
          <cell r="AA169">
            <v>159000</v>
          </cell>
          <cell r="AB169" t="str">
            <v>dos</v>
          </cell>
        </row>
        <row r="170">
          <cell r="A170" t="str">
            <v>RMALKIS135</v>
          </cell>
          <cell r="B170" t="str">
            <v>Biskuit Roma Malkis Craker 135 gr</v>
          </cell>
          <cell r="C170">
            <v>20</v>
          </cell>
          <cell r="D170" t="str">
            <v>pcs</v>
          </cell>
          <cell r="E170">
            <v>98400.5</v>
          </cell>
          <cell r="F170">
            <v>59040.299999999996</v>
          </cell>
          <cell r="G170">
            <v>4920.0249999999996</v>
          </cell>
          <cell r="H170">
            <v>6000</v>
          </cell>
          <cell r="I170" t="str">
            <v>pc</v>
          </cell>
          <cell r="J170">
            <v>5500</v>
          </cell>
          <cell r="K170" t="str">
            <v>pc</v>
          </cell>
          <cell r="L170">
            <v>5300</v>
          </cell>
          <cell r="M170" t="str">
            <v>pc</v>
          </cell>
          <cell r="T170">
            <v>61000</v>
          </cell>
          <cell r="U170">
            <v>12</v>
          </cell>
          <cell r="V170" t="str">
            <v>lsn</v>
          </cell>
          <cell r="W170">
            <v>5000</v>
          </cell>
          <cell r="X170" t="str">
            <v>pc</v>
          </cell>
          <cell r="Y170">
            <v>5100</v>
          </cell>
          <cell r="Z170" t="str">
            <v>pc</v>
          </cell>
        </row>
        <row r="171">
          <cell r="A171" t="str">
            <v>RMALKIS252</v>
          </cell>
          <cell r="B171" t="str">
            <v>Biskuit Roma Malkis Kopyor 252 gr</v>
          </cell>
          <cell r="C171">
            <v>6</v>
          </cell>
          <cell r="D171" t="str">
            <v>pcs</v>
          </cell>
          <cell r="E171">
            <v>32399.95</v>
          </cell>
          <cell r="F171">
            <v>194399.7</v>
          </cell>
          <cell r="G171">
            <v>5399.9916666666668</v>
          </cell>
          <cell r="H171">
            <v>7000</v>
          </cell>
          <cell r="I171" t="str">
            <v>pc</v>
          </cell>
          <cell r="K171" t="str">
            <v>pc</v>
          </cell>
          <cell r="M171" t="str">
            <v>pc</v>
          </cell>
          <cell r="T171">
            <v>35000</v>
          </cell>
          <cell r="U171">
            <v>12</v>
          </cell>
          <cell r="V171" t="str">
            <v>lsn</v>
          </cell>
          <cell r="X171" t="str">
            <v>pc</v>
          </cell>
          <cell r="Z171" t="str">
            <v>pc</v>
          </cell>
        </row>
        <row r="172">
          <cell r="A172" t="str">
            <v>RMALKISB</v>
          </cell>
          <cell r="B172" t="str">
            <v>Biskuit Roma Malkis Craker Besar 250gr</v>
          </cell>
          <cell r="C172">
            <v>4</v>
          </cell>
          <cell r="D172" t="str">
            <v>pcs</v>
          </cell>
          <cell r="E172">
            <v>27600</v>
          </cell>
          <cell r="F172">
            <v>138000</v>
          </cell>
          <cell r="G172">
            <v>6900</v>
          </cell>
          <cell r="H172">
            <v>8000</v>
          </cell>
          <cell r="I172" t="str">
            <v>pc</v>
          </cell>
          <cell r="J172">
            <v>7700</v>
          </cell>
          <cell r="K172" t="str">
            <v>pc</v>
          </cell>
          <cell r="L172">
            <v>7600</v>
          </cell>
          <cell r="M172" t="str">
            <v>pc</v>
          </cell>
          <cell r="Q172">
            <v>30000</v>
          </cell>
          <cell r="R172">
            <v>4</v>
          </cell>
          <cell r="S172" t="str">
            <v>pak</v>
          </cell>
          <cell r="W172">
            <v>7450</v>
          </cell>
          <cell r="X172" t="str">
            <v>pc</v>
          </cell>
          <cell r="Y172">
            <v>7500</v>
          </cell>
          <cell r="Z172" t="str">
            <v>pc</v>
          </cell>
          <cell r="AA172">
            <v>142000</v>
          </cell>
          <cell r="AB172" t="str">
            <v>dos</v>
          </cell>
        </row>
        <row r="173">
          <cell r="A173" t="str">
            <v>RMALKISK</v>
          </cell>
          <cell r="B173" t="str">
            <v>Biskuit Roma Malkis Craker Kecil 135 GR</v>
          </cell>
          <cell r="C173">
            <v>6</v>
          </cell>
          <cell r="D173" t="str">
            <v>pak</v>
          </cell>
          <cell r="E173">
            <v>28800</v>
          </cell>
          <cell r="F173">
            <v>144000</v>
          </cell>
          <cell r="G173">
            <v>4800</v>
          </cell>
          <cell r="H173">
            <v>6000</v>
          </cell>
          <cell r="I173" t="str">
            <v>pc</v>
          </cell>
          <cell r="J173">
            <v>5600</v>
          </cell>
          <cell r="K173" t="str">
            <v>pc</v>
          </cell>
          <cell r="L173">
            <v>5400</v>
          </cell>
          <cell r="M173" t="str">
            <v>pc</v>
          </cell>
          <cell r="Q173">
            <v>31000</v>
          </cell>
          <cell r="R173">
            <v>6</v>
          </cell>
          <cell r="S173" t="str">
            <v>pak</v>
          </cell>
          <cell r="W173">
            <v>5100</v>
          </cell>
          <cell r="X173" t="str">
            <v>pc</v>
          </cell>
          <cell r="Y173">
            <v>5200</v>
          </cell>
          <cell r="Z173" t="str">
            <v>pc</v>
          </cell>
          <cell r="AB173" t="str">
            <v>dos</v>
          </cell>
        </row>
        <row r="174">
          <cell r="A174" t="str">
            <v>RMALKIS1</v>
          </cell>
          <cell r="B174" t="str">
            <v>Biskuit Roma Malkis Craker Renteng 27 GR</v>
          </cell>
          <cell r="C174">
            <v>10</v>
          </cell>
          <cell r="D174" t="str">
            <v>pak</v>
          </cell>
          <cell r="E174">
            <v>8200.0416666666661</v>
          </cell>
          <cell r="F174">
            <v>98400.5</v>
          </cell>
          <cell r="G174">
            <v>820.00416666666661</v>
          </cell>
          <cell r="N174">
            <v>9000</v>
          </cell>
          <cell r="P174" t="str">
            <v>rtg</v>
          </cell>
        </row>
        <row r="175">
          <cell r="A175" t="str">
            <v>RMALKISCR</v>
          </cell>
          <cell r="B175" t="str">
            <v>Biskuit Roma Malkis CREAM Kecil 135 GR</v>
          </cell>
          <cell r="C175">
            <v>20</v>
          </cell>
          <cell r="D175" t="str">
            <v>pcs</v>
          </cell>
          <cell r="E175">
            <v>96000</v>
          </cell>
          <cell r="F175">
            <v>57600</v>
          </cell>
          <cell r="G175">
            <v>4800</v>
          </cell>
          <cell r="H175">
            <v>6000</v>
          </cell>
          <cell r="I175" t="str">
            <v>pc</v>
          </cell>
          <cell r="J175">
            <v>5500</v>
          </cell>
          <cell r="K175" t="str">
            <v>pc</v>
          </cell>
          <cell r="L175">
            <v>5200</v>
          </cell>
          <cell r="M175" t="str">
            <v>pc</v>
          </cell>
          <cell r="Q175">
            <v>60000</v>
          </cell>
          <cell r="R175">
            <v>12</v>
          </cell>
          <cell r="S175" t="str">
            <v>lsn</v>
          </cell>
          <cell r="W175">
            <v>4900</v>
          </cell>
          <cell r="X175" t="str">
            <v>pc</v>
          </cell>
          <cell r="Y175">
            <v>5000</v>
          </cell>
          <cell r="Z175" t="str">
            <v>pc</v>
          </cell>
        </row>
        <row r="176">
          <cell r="A176" t="str">
            <v>RABONR</v>
          </cell>
          <cell r="B176" t="str">
            <v>Biskuit Roma MALKIS Renteng</v>
          </cell>
          <cell r="C176">
            <v>10</v>
          </cell>
          <cell r="D176" t="str">
            <v>pak</v>
          </cell>
          <cell r="E176">
            <v>8200.0416666666661</v>
          </cell>
          <cell r="F176">
            <v>98400.5</v>
          </cell>
          <cell r="G176">
            <v>820.00416666666661</v>
          </cell>
          <cell r="Q176">
            <v>9000</v>
          </cell>
          <cell r="R176">
            <v>10</v>
          </cell>
          <cell r="S176" t="str">
            <v>pak</v>
          </cell>
          <cell r="AA176">
            <v>99500</v>
          </cell>
          <cell r="AB176" t="str">
            <v>dos</v>
          </cell>
        </row>
        <row r="177">
          <cell r="A177" t="str">
            <v>RABONB</v>
          </cell>
          <cell r="B177" t="str">
            <v>Biskuit Roma Malkist Abon B</v>
          </cell>
          <cell r="C177">
            <v>4</v>
          </cell>
          <cell r="D177" t="str">
            <v>pcs</v>
          </cell>
          <cell r="E177">
            <v>30000.079999999998</v>
          </cell>
          <cell r="F177">
            <v>150000.4</v>
          </cell>
          <cell r="G177">
            <v>7500.0199999999995</v>
          </cell>
          <cell r="H177">
            <v>9000</v>
          </cell>
          <cell r="I177" t="str">
            <v>pc</v>
          </cell>
          <cell r="J177">
            <v>8700</v>
          </cell>
          <cell r="K177" t="str">
            <v>pc</v>
          </cell>
          <cell r="L177">
            <v>8500</v>
          </cell>
          <cell r="M177" t="str">
            <v>pc</v>
          </cell>
          <cell r="Q177">
            <v>33000</v>
          </cell>
          <cell r="R177">
            <v>4</v>
          </cell>
          <cell r="S177" t="str">
            <v>pak</v>
          </cell>
          <cell r="W177">
            <v>8200</v>
          </cell>
          <cell r="X177" t="str">
            <v>pc</v>
          </cell>
          <cell r="Y177">
            <v>8300</v>
          </cell>
          <cell r="Z177" t="str">
            <v>pc</v>
          </cell>
        </row>
        <row r="178">
          <cell r="A178" t="str">
            <v>RABONK</v>
          </cell>
          <cell r="B178" t="str">
            <v>Biskuit Roma Malkist Abon Kecil 135 GR</v>
          </cell>
          <cell r="C178">
            <v>6</v>
          </cell>
          <cell r="D178" t="str">
            <v>pak</v>
          </cell>
          <cell r="E178">
            <v>28799.98</v>
          </cell>
          <cell r="F178">
            <v>143999.9</v>
          </cell>
          <cell r="G178">
            <v>4799.9966666666669</v>
          </cell>
          <cell r="H178">
            <v>6000</v>
          </cell>
          <cell r="I178" t="str">
            <v>pc</v>
          </cell>
          <cell r="J178">
            <v>5500</v>
          </cell>
          <cell r="K178" t="str">
            <v>pc</v>
          </cell>
          <cell r="L178">
            <v>5300</v>
          </cell>
          <cell r="M178" t="str">
            <v>pc</v>
          </cell>
          <cell r="Q178">
            <v>31000</v>
          </cell>
          <cell r="R178">
            <v>6</v>
          </cell>
          <cell r="S178" t="str">
            <v>pak</v>
          </cell>
          <cell r="W178">
            <v>5100</v>
          </cell>
          <cell r="X178" t="str">
            <v>pc</v>
          </cell>
          <cell r="Y178">
            <v>5200</v>
          </cell>
          <cell r="Z178" t="str">
            <v>pc</v>
          </cell>
        </row>
        <row r="179">
          <cell r="A179" t="str">
            <v>RKALENG450</v>
          </cell>
          <cell r="B179" t="str">
            <v>Biskuit Roma Kaleng 450 GR</v>
          </cell>
          <cell r="C179">
            <v>6</v>
          </cell>
          <cell r="D179" t="str">
            <v>klg</v>
          </cell>
          <cell r="E179">
            <v>135000</v>
          </cell>
          <cell r="G179">
            <v>22500</v>
          </cell>
          <cell r="H179">
            <v>26000</v>
          </cell>
          <cell r="I179" t="str">
            <v>pc</v>
          </cell>
          <cell r="J179">
            <v>25500</v>
          </cell>
          <cell r="K179" t="str">
            <v>pc</v>
          </cell>
          <cell r="L179">
            <v>25000</v>
          </cell>
          <cell r="M179" t="str">
            <v>pc</v>
          </cell>
        </row>
        <row r="180">
          <cell r="A180" t="str">
            <v>RSUSU115</v>
          </cell>
          <cell r="B180" t="str">
            <v>Biskuit Roma MARI SUSU ISI 5 115 GR</v>
          </cell>
          <cell r="C180">
            <v>5</v>
          </cell>
          <cell r="D180" t="str">
            <v>pak</v>
          </cell>
          <cell r="E180">
            <v>21000</v>
          </cell>
          <cell r="F180">
            <v>168000</v>
          </cell>
          <cell r="G180">
            <v>4200</v>
          </cell>
          <cell r="H180">
            <v>5500</v>
          </cell>
          <cell r="I180" t="str">
            <v>pc</v>
          </cell>
          <cell r="J180">
            <v>5000</v>
          </cell>
          <cell r="K180" t="str">
            <v>pc</v>
          </cell>
          <cell r="L180">
            <v>4800</v>
          </cell>
          <cell r="M180" t="str">
            <v>pc</v>
          </cell>
          <cell r="Q180">
            <v>23500</v>
          </cell>
          <cell r="R180">
            <v>5</v>
          </cell>
          <cell r="S180" t="str">
            <v>pak</v>
          </cell>
          <cell r="W180">
            <v>4600</v>
          </cell>
          <cell r="X180" t="str">
            <v>pc</v>
          </cell>
          <cell r="Y180">
            <v>4700</v>
          </cell>
          <cell r="Z180" t="str">
            <v>pc</v>
          </cell>
          <cell r="AA180">
            <v>171000</v>
          </cell>
          <cell r="AB180" t="str">
            <v>dos</v>
          </cell>
        </row>
        <row r="181">
          <cell r="A181" t="str">
            <v>RSUSU21</v>
          </cell>
          <cell r="B181" t="str">
            <v>Biskuit Roma MARI SUSU ISI 5 21 GR</v>
          </cell>
          <cell r="C181">
            <v>2</v>
          </cell>
          <cell r="D181" t="str">
            <v>pak</v>
          </cell>
          <cell r="E181">
            <v>25833.316666666666</v>
          </cell>
          <cell r="F181">
            <v>154999.9</v>
          </cell>
          <cell r="G181">
            <v>12916.658333333333</v>
          </cell>
          <cell r="Q181">
            <v>14500</v>
          </cell>
          <cell r="R181">
            <v>2</v>
          </cell>
          <cell r="S181" t="str">
            <v>pak</v>
          </cell>
        </row>
        <row r="182">
          <cell r="A182" t="str">
            <v>RGANDUM39</v>
          </cell>
          <cell r="B182" t="str">
            <v>Biskuit Roma S Gandum SANDWICH 39 gr</v>
          </cell>
          <cell r="C182">
            <v>12</v>
          </cell>
          <cell r="D182" t="str">
            <v>pcs</v>
          </cell>
          <cell r="E182">
            <v>20499.966666666667</v>
          </cell>
          <cell r="F182">
            <v>122999.8</v>
          </cell>
          <cell r="G182">
            <v>1708.3305555555555</v>
          </cell>
          <cell r="H182">
            <v>2000</v>
          </cell>
          <cell r="I182" t="str">
            <v>pc</v>
          </cell>
          <cell r="J182">
            <v>2000</v>
          </cell>
          <cell r="K182" t="str">
            <v>pc</v>
          </cell>
          <cell r="L182">
            <v>2000</v>
          </cell>
          <cell r="M182" t="str">
            <v>pc</v>
          </cell>
          <cell r="Q182">
            <v>22500</v>
          </cell>
          <cell r="S182" t="str">
            <v>pak</v>
          </cell>
        </row>
        <row r="183">
          <cell r="A183" t="str">
            <v>RGANDUM115</v>
          </cell>
          <cell r="B183" t="str">
            <v>Biskuit Roma S Gandum SANDWICH</v>
          </cell>
          <cell r="C183">
            <v>24</v>
          </cell>
          <cell r="D183" t="str">
            <v>pcs</v>
          </cell>
          <cell r="E183">
            <v>122400.3</v>
          </cell>
          <cell r="F183">
            <v>61200.149999999994</v>
          </cell>
          <cell r="G183">
            <v>5100.0124999999998</v>
          </cell>
          <cell r="H183">
            <v>6500</v>
          </cell>
          <cell r="I183" t="str">
            <v>pc</v>
          </cell>
          <cell r="J183">
            <v>6000</v>
          </cell>
          <cell r="K183" t="str">
            <v>pc</v>
          </cell>
          <cell r="L183">
            <v>5800</v>
          </cell>
          <cell r="M183" t="str">
            <v>pc</v>
          </cell>
          <cell r="W183">
            <v>5600</v>
          </cell>
          <cell r="X183" t="str">
            <v>pc</v>
          </cell>
          <cell r="Y183">
            <v>5700</v>
          </cell>
          <cell r="Z183" t="str">
            <v>pc</v>
          </cell>
        </row>
        <row r="184">
          <cell r="A184" t="str">
            <v>RGANDUM149</v>
          </cell>
          <cell r="B184" t="str">
            <v>Biskuit Roma Sari Gandum 149 gr</v>
          </cell>
          <cell r="C184">
            <v>5</v>
          </cell>
          <cell r="D184" t="str">
            <v>pak</v>
          </cell>
          <cell r="E184">
            <v>24250</v>
          </cell>
          <cell r="F184">
            <v>97000</v>
          </cell>
          <cell r="G184">
            <v>4850</v>
          </cell>
          <cell r="H184">
            <v>6000</v>
          </cell>
          <cell r="I184" t="str">
            <v>pc</v>
          </cell>
          <cell r="J184">
            <v>5700</v>
          </cell>
          <cell r="K184" t="str">
            <v>pc</v>
          </cell>
          <cell r="L184">
            <v>5500</v>
          </cell>
          <cell r="M184" t="str">
            <v>pc</v>
          </cell>
          <cell r="Q184">
            <v>27000</v>
          </cell>
          <cell r="R184">
            <v>5</v>
          </cell>
          <cell r="S184" t="str">
            <v>pak</v>
          </cell>
          <cell r="W184">
            <v>5300</v>
          </cell>
          <cell r="X184" t="str">
            <v>pc</v>
          </cell>
          <cell r="Y184">
            <v>5400</v>
          </cell>
          <cell r="Z184" t="str">
            <v>pc</v>
          </cell>
        </row>
        <row r="185">
          <cell r="A185" t="str">
            <v>RGANDUM240</v>
          </cell>
          <cell r="B185" t="str">
            <v>Biskuit Roma Sari Gandum 240 gr</v>
          </cell>
          <cell r="C185">
            <v>5</v>
          </cell>
          <cell r="D185" t="str">
            <v>pak</v>
          </cell>
          <cell r="E185">
            <v>35500.025000000001</v>
          </cell>
          <cell r="F185">
            <v>142000.1</v>
          </cell>
          <cell r="G185">
            <v>7100.0050000000001</v>
          </cell>
          <cell r="H185">
            <v>8000</v>
          </cell>
          <cell r="I185" t="str">
            <v>pc</v>
          </cell>
          <cell r="J185">
            <v>8000</v>
          </cell>
          <cell r="K185" t="str">
            <v>pc</v>
          </cell>
          <cell r="L185">
            <v>7800</v>
          </cell>
          <cell r="M185" t="str">
            <v>pc</v>
          </cell>
          <cell r="Q185">
            <v>38000</v>
          </cell>
          <cell r="R185">
            <v>5</v>
          </cell>
          <cell r="S185" t="str">
            <v>pak</v>
          </cell>
          <cell r="W185">
            <v>7500</v>
          </cell>
          <cell r="X185" t="str">
            <v>pc</v>
          </cell>
          <cell r="Y185">
            <v>7600</v>
          </cell>
          <cell r="Z185" t="str">
            <v>pc</v>
          </cell>
        </row>
        <row r="186">
          <cell r="A186" t="str">
            <v>SEEHONG</v>
          </cell>
          <cell r="B186" t="str">
            <v>Biskuit See hong Puff</v>
          </cell>
          <cell r="C186">
            <v>6</v>
          </cell>
          <cell r="D186" t="str">
            <v>pcs</v>
          </cell>
          <cell r="E186">
            <v>32167</v>
          </cell>
          <cell r="F186">
            <v>176000</v>
          </cell>
          <cell r="G186">
            <v>5361.166666666667</v>
          </cell>
          <cell r="H186">
            <v>6500</v>
          </cell>
          <cell r="I186" t="str">
            <v>pc</v>
          </cell>
          <cell r="J186">
            <v>6500</v>
          </cell>
          <cell r="K186" t="str">
            <v>pc</v>
          </cell>
          <cell r="L186">
            <v>6000</v>
          </cell>
          <cell r="M186" t="str">
            <v>pc</v>
          </cell>
          <cell r="Q186">
            <v>35000</v>
          </cell>
          <cell r="R186">
            <v>6</v>
          </cell>
          <cell r="S186" t="str">
            <v>pak</v>
          </cell>
          <cell r="Z186">
            <v>0</v>
          </cell>
        </row>
        <row r="187">
          <cell r="A187" t="str">
            <v>WAFERB</v>
          </cell>
          <cell r="B187" t="str">
            <v>Biskuit Wafer Cream</v>
          </cell>
          <cell r="C187">
            <v>10</v>
          </cell>
          <cell r="D187" t="str">
            <v>pcs</v>
          </cell>
          <cell r="E187">
            <v>73000</v>
          </cell>
          <cell r="G187">
            <v>7300</v>
          </cell>
        </row>
        <row r="188">
          <cell r="A188" t="str">
            <v>MULIA260</v>
          </cell>
          <cell r="B188" t="str">
            <v>Biskuit Wafer Mulia Cream 260</v>
          </cell>
          <cell r="C188">
            <v>10</v>
          </cell>
          <cell r="D188" t="str">
            <v>pcs</v>
          </cell>
          <cell r="E188">
            <v>65500</v>
          </cell>
          <cell r="F188">
            <v>78600</v>
          </cell>
          <cell r="G188">
            <v>6550</v>
          </cell>
          <cell r="H188">
            <v>7500</v>
          </cell>
          <cell r="I188" t="str">
            <v>pc</v>
          </cell>
          <cell r="J188">
            <v>7300</v>
          </cell>
          <cell r="K188" t="str">
            <v>pc</v>
          </cell>
          <cell r="L188">
            <v>6900</v>
          </cell>
          <cell r="M188" t="str">
            <v>pc</v>
          </cell>
          <cell r="T188">
            <v>81000</v>
          </cell>
          <cell r="U188">
            <v>12</v>
          </cell>
          <cell r="V188" t="str">
            <v>lsn</v>
          </cell>
          <cell r="W188">
            <v>6700</v>
          </cell>
          <cell r="X188" t="str">
            <v>pc</v>
          </cell>
          <cell r="Y188">
            <v>6750</v>
          </cell>
          <cell r="Z188" t="str">
            <v>pc</v>
          </cell>
        </row>
        <row r="189">
          <cell r="A189" t="str">
            <v>WIGO</v>
          </cell>
          <cell r="B189" t="str">
            <v>Biskuit Wafer Wigo</v>
          </cell>
          <cell r="C189">
            <v>30</v>
          </cell>
          <cell r="D189" t="str">
            <v>pcs</v>
          </cell>
          <cell r="E189">
            <v>63000</v>
          </cell>
          <cell r="F189">
            <v>25200</v>
          </cell>
          <cell r="G189">
            <v>2100</v>
          </cell>
          <cell r="H189">
            <v>3500</v>
          </cell>
          <cell r="I189" t="str">
            <v>pc</v>
          </cell>
          <cell r="J189">
            <v>3000</v>
          </cell>
          <cell r="K189" t="str">
            <v>pc</v>
          </cell>
          <cell r="L189">
            <v>2500</v>
          </cell>
          <cell r="M189" t="str">
            <v>pc</v>
          </cell>
          <cell r="T189">
            <v>27500</v>
          </cell>
          <cell r="U189">
            <v>12</v>
          </cell>
          <cell r="V189" t="str">
            <v>lsn</v>
          </cell>
          <cell r="W189">
            <v>2200</v>
          </cell>
          <cell r="X189" t="str">
            <v>pc</v>
          </cell>
          <cell r="Y189">
            <v>2291.6666666666665</v>
          </cell>
          <cell r="Z189" t="str">
            <v>pc</v>
          </cell>
          <cell r="AA189">
            <v>66500</v>
          </cell>
          <cell r="AB189" t="str">
            <v>dos</v>
          </cell>
        </row>
        <row r="190">
          <cell r="A190" t="str">
            <v>BLAW</v>
          </cell>
          <cell r="B190" t="str">
            <v>Blaw</v>
          </cell>
          <cell r="C190">
            <v>25</v>
          </cell>
          <cell r="D190" t="str">
            <v>pak</v>
          </cell>
          <cell r="E190">
            <v>90000</v>
          </cell>
          <cell r="F190">
            <v>160000</v>
          </cell>
          <cell r="G190">
            <v>3600</v>
          </cell>
        </row>
        <row r="191">
          <cell r="A191" t="str">
            <v>BIOGEL</v>
          </cell>
          <cell r="B191" t="str">
            <v>Bola Air Bio Gel</v>
          </cell>
          <cell r="C191">
            <v>20</v>
          </cell>
          <cell r="D191" t="str">
            <v>dos</v>
          </cell>
          <cell r="E191">
            <v>11166.666666666666</v>
          </cell>
          <cell r="F191">
            <v>335000</v>
          </cell>
          <cell r="G191">
            <v>558.33333333333326</v>
          </cell>
        </row>
        <row r="192">
          <cell r="A192" t="str">
            <v>HAPPYDOT</v>
          </cell>
          <cell r="B192" t="str">
            <v>Bombon Happy Dot</v>
          </cell>
          <cell r="C192">
            <v>20</v>
          </cell>
          <cell r="D192" t="str">
            <v>pak</v>
          </cell>
          <cell r="E192">
            <v>8350</v>
          </cell>
          <cell r="F192">
            <v>83500</v>
          </cell>
          <cell r="G192">
            <v>417.5</v>
          </cell>
          <cell r="Q192">
            <v>9500</v>
          </cell>
          <cell r="R192">
            <v>10</v>
          </cell>
          <cell r="S192" t="str">
            <v>pak</v>
          </cell>
          <cell r="AA192">
            <v>87000</v>
          </cell>
          <cell r="AB192" t="str">
            <v>dos</v>
          </cell>
        </row>
        <row r="193">
          <cell r="A193" t="str">
            <v>PIDI</v>
          </cell>
          <cell r="B193" t="str">
            <v>Bombon CHEWING GUM MINI</v>
          </cell>
          <cell r="C193">
            <v>20</v>
          </cell>
          <cell r="D193" t="str">
            <v>pak</v>
          </cell>
          <cell r="E193">
            <v>8555.5555555555547</v>
          </cell>
          <cell r="F193">
            <v>308000</v>
          </cell>
          <cell r="G193">
            <v>427.77777777777771</v>
          </cell>
          <cell r="Q193">
            <v>9500</v>
          </cell>
          <cell r="S193" t="str">
            <v>pak</v>
          </cell>
        </row>
        <row r="194">
          <cell r="A194" t="str">
            <v>CHEWYR</v>
          </cell>
          <cell r="B194" t="str">
            <v>Bombon CHEWY ROLL ISI 40</v>
          </cell>
          <cell r="C194">
            <v>40</v>
          </cell>
          <cell r="D194" t="str">
            <v>pak</v>
          </cell>
          <cell r="E194">
            <v>14500</v>
          </cell>
          <cell r="F194">
            <v>87000</v>
          </cell>
          <cell r="G194">
            <v>362.5</v>
          </cell>
          <cell r="Q194">
            <v>17000</v>
          </cell>
          <cell r="S194" t="str">
            <v>pak</v>
          </cell>
        </row>
        <row r="195">
          <cell r="A195" t="str">
            <v>CHEWYK</v>
          </cell>
          <cell r="B195" t="str">
            <v>Bombon CHEWY RENTENG ISI 20</v>
          </cell>
          <cell r="C195">
            <v>20</v>
          </cell>
          <cell r="D195" t="str">
            <v>pak</v>
          </cell>
          <cell r="E195">
            <v>15400</v>
          </cell>
          <cell r="G195">
            <v>770</v>
          </cell>
          <cell r="H195">
            <v>1000</v>
          </cell>
          <cell r="I195" t="str">
            <v>pc</v>
          </cell>
          <cell r="J195">
            <v>1000</v>
          </cell>
          <cell r="K195" t="str">
            <v>pc</v>
          </cell>
          <cell r="L195">
            <v>1000</v>
          </cell>
          <cell r="M195" t="str">
            <v>pc</v>
          </cell>
          <cell r="Q195">
            <v>8500</v>
          </cell>
          <cell r="S195" t="str">
            <v>pak</v>
          </cell>
        </row>
        <row r="196">
          <cell r="A196" t="str">
            <v>CHEWEEZ</v>
          </cell>
          <cell r="B196" t="str">
            <v>Bombon CHEWEEZ TOPLES</v>
          </cell>
          <cell r="C196">
            <v>80</v>
          </cell>
          <cell r="D196" t="str">
            <v>topl</v>
          </cell>
          <cell r="E196">
            <v>19492</v>
          </cell>
          <cell r="F196">
            <v>116952</v>
          </cell>
          <cell r="G196">
            <v>243.65</v>
          </cell>
          <cell r="Q196">
            <v>22000</v>
          </cell>
          <cell r="S196" t="str">
            <v>topl</v>
          </cell>
        </row>
        <row r="197">
          <cell r="A197" t="str">
            <v>POPPING</v>
          </cell>
          <cell r="B197" t="str">
            <v>Bombon POPPING CANDY</v>
          </cell>
          <cell r="C197">
            <v>30</v>
          </cell>
          <cell r="D197" t="str">
            <v>pak</v>
          </cell>
          <cell r="E197">
            <v>20125</v>
          </cell>
          <cell r="F197">
            <v>161000</v>
          </cell>
          <cell r="G197">
            <v>670.83333333333337</v>
          </cell>
          <cell r="Q197">
            <v>23500</v>
          </cell>
          <cell r="R197">
            <v>10</v>
          </cell>
          <cell r="S197" t="str">
            <v>pak</v>
          </cell>
        </row>
        <row r="198">
          <cell r="A198" t="str">
            <v>BIBIR</v>
          </cell>
          <cell r="B198" t="str">
            <v>Bombon BIBIR</v>
          </cell>
          <cell r="C198">
            <v>20</v>
          </cell>
          <cell r="D198" t="str">
            <v>pak</v>
          </cell>
          <cell r="E198">
            <v>8350</v>
          </cell>
          <cell r="F198">
            <v>83500</v>
          </cell>
          <cell r="G198">
            <v>417.5</v>
          </cell>
          <cell r="Q198">
            <v>9500</v>
          </cell>
          <cell r="R198">
            <v>20</v>
          </cell>
          <cell r="S198" t="str">
            <v>pak</v>
          </cell>
        </row>
        <row r="199">
          <cell r="A199" t="str">
            <v>MILKO</v>
          </cell>
          <cell r="B199" t="str">
            <v>Bombon MILKO RENTENG</v>
          </cell>
          <cell r="C199">
            <v>30</v>
          </cell>
          <cell r="D199" t="str">
            <v>pak</v>
          </cell>
          <cell r="E199">
            <v>13166.666666666666</v>
          </cell>
          <cell r="F199">
            <v>79000</v>
          </cell>
          <cell r="G199">
            <v>438.88888888888886</v>
          </cell>
          <cell r="Q199">
            <v>14500</v>
          </cell>
          <cell r="R199">
            <v>30</v>
          </cell>
          <cell r="S199" t="str">
            <v>pak</v>
          </cell>
        </row>
        <row r="200">
          <cell r="A200" t="str">
            <v>PELUIT</v>
          </cell>
          <cell r="B200" t="str">
            <v>Bombon PELUIT CANDY</v>
          </cell>
          <cell r="C200">
            <v>20</v>
          </cell>
          <cell r="D200" t="str">
            <v>pak</v>
          </cell>
          <cell r="E200">
            <v>8083.333333333333</v>
          </cell>
          <cell r="F200">
            <v>97000</v>
          </cell>
          <cell r="G200">
            <v>404.16666666666663</v>
          </cell>
          <cell r="Q200">
            <v>9000</v>
          </cell>
          <cell r="R200">
            <v>20</v>
          </cell>
          <cell r="S200" t="str">
            <v>pak</v>
          </cell>
        </row>
        <row r="201">
          <cell r="A201" t="str">
            <v>JUIZY</v>
          </cell>
          <cell r="B201" t="str">
            <v>Bombon JUIZY</v>
          </cell>
          <cell r="C201">
            <v>24</v>
          </cell>
          <cell r="D201" t="str">
            <v>pak</v>
          </cell>
          <cell r="E201">
            <v>125000</v>
          </cell>
          <cell r="G201">
            <v>5208.333333333333</v>
          </cell>
          <cell r="Q201">
            <v>6000</v>
          </cell>
          <cell r="R201">
            <v>24</v>
          </cell>
          <cell r="S201" t="str">
            <v>pak</v>
          </cell>
        </row>
        <row r="202">
          <cell r="A202" t="str">
            <v>SUPERBALON</v>
          </cell>
          <cell r="B202" t="str">
            <v>Bombon SUPER BALON</v>
          </cell>
          <cell r="C202">
            <v>30</v>
          </cell>
          <cell r="D202" t="str">
            <v>pak</v>
          </cell>
          <cell r="E202">
            <v>8666.6666666666661</v>
          </cell>
          <cell r="F202">
            <v>52000</v>
          </cell>
          <cell r="G202">
            <v>288.88888888888886</v>
          </cell>
          <cell r="Q202">
            <v>10000</v>
          </cell>
          <cell r="R202">
            <v>30</v>
          </cell>
          <cell r="S202" t="str">
            <v>pak</v>
          </cell>
        </row>
        <row r="203">
          <cell r="A203" t="str">
            <v>JESSLOLI</v>
          </cell>
          <cell r="B203" t="str">
            <v>Bombon JESS LOLI</v>
          </cell>
          <cell r="C203">
            <v>30</v>
          </cell>
          <cell r="D203" t="str">
            <v>pak</v>
          </cell>
          <cell r="E203">
            <v>11166.666666666666</v>
          </cell>
          <cell r="F203">
            <v>67000</v>
          </cell>
          <cell r="G203">
            <v>372.22222222222223</v>
          </cell>
          <cell r="Q203">
            <v>13000</v>
          </cell>
          <cell r="R203">
            <v>30</v>
          </cell>
          <cell r="S203" t="str">
            <v>pak</v>
          </cell>
        </row>
        <row r="204">
          <cell r="A204" t="str">
            <v>AEROMINT</v>
          </cell>
          <cell r="B204" t="str">
            <v>Bombon AEROMINI</v>
          </cell>
          <cell r="C204">
            <v>60</v>
          </cell>
          <cell r="D204" t="str">
            <v>topl</v>
          </cell>
          <cell r="E204">
            <v>22500</v>
          </cell>
          <cell r="F204">
            <v>135000</v>
          </cell>
          <cell r="G204">
            <v>375</v>
          </cell>
          <cell r="Q204">
            <v>24000</v>
          </cell>
          <cell r="R204">
            <v>60</v>
          </cell>
          <cell r="S204" t="str">
            <v>topl</v>
          </cell>
          <cell r="AA204">
            <v>138000</v>
          </cell>
          <cell r="AB204" t="str">
            <v>dos</v>
          </cell>
        </row>
        <row r="205">
          <cell r="A205" t="str">
            <v>ALPENB</v>
          </cell>
          <cell r="B205" t="str">
            <v>Bombon Alpen BUNGKUS BIASA</v>
          </cell>
          <cell r="C205">
            <v>50</v>
          </cell>
          <cell r="D205" t="str">
            <v>pcs</v>
          </cell>
          <cell r="E205">
            <v>5650</v>
          </cell>
          <cell r="F205">
            <v>226000</v>
          </cell>
          <cell r="G205">
            <v>113</v>
          </cell>
          <cell r="Q205">
            <v>6500</v>
          </cell>
          <cell r="R205">
            <v>50</v>
          </cell>
          <cell r="S205" t="str">
            <v>pak</v>
          </cell>
        </row>
        <row r="206">
          <cell r="A206" t="str">
            <v>ALPENE</v>
          </cell>
          <cell r="B206" t="str">
            <v>Bombon Alpen ECLAIRS</v>
          </cell>
          <cell r="C206">
            <v>50</v>
          </cell>
          <cell r="D206" t="str">
            <v>pcs</v>
          </cell>
          <cell r="E206">
            <v>7583.333333333333</v>
          </cell>
          <cell r="F206">
            <v>182000</v>
          </cell>
          <cell r="G206">
            <v>151.66666666666666</v>
          </cell>
          <cell r="Q206">
            <v>8000</v>
          </cell>
          <cell r="R206">
            <v>50</v>
          </cell>
          <cell r="S206" t="str">
            <v>pak</v>
          </cell>
          <cell r="AA206">
            <v>213000</v>
          </cell>
          <cell r="AB206" t="str">
            <v>dos</v>
          </cell>
        </row>
        <row r="207">
          <cell r="A207" t="str">
            <v>ALPEN20</v>
          </cell>
          <cell r="B207" t="str">
            <v>Bombon Alpen Loly ISI 20</v>
          </cell>
          <cell r="C207">
            <v>20</v>
          </cell>
          <cell r="D207" t="str">
            <v>pcs</v>
          </cell>
          <cell r="E207">
            <v>7750</v>
          </cell>
          <cell r="F207">
            <v>124000</v>
          </cell>
          <cell r="G207">
            <v>387.5</v>
          </cell>
          <cell r="Q207">
            <v>8500</v>
          </cell>
          <cell r="R207">
            <v>20</v>
          </cell>
          <cell r="S207" t="str">
            <v>pak</v>
          </cell>
          <cell r="AA207">
            <v>126500</v>
          </cell>
          <cell r="AB207" t="str">
            <v>dos</v>
          </cell>
        </row>
        <row r="208">
          <cell r="A208" t="str">
            <v>ALPEN50</v>
          </cell>
          <cell r="B208" t="str">
            <v>Bombon Alpen Loly ISI 50</v>
          </cell>
          <cell r="C208">
            <v>50</v>
          </cell>
          <cell r="D208" t="str">
            <v>pcs</v>
          </cell>
          <cell r="E208">
            <v>19666.666666666668</v>
          </cell>
          <cell r="F208">
            <v>118000</v>
          </cell>
          <cell r="G208">
            <v>393.33333333333337</v>
          </cell>
          <cell r="Q208">
            <v>21000</v>
          </cell>
          <cell r="R208">
            <v>50</v>
          </cell>
          <cell r="S208" t="str">
            <v>pak</v>
          </cell>
          <cell r="AA208">
            <v>120000</v>
          </cell>
          <cell r="AB208" t="str">
            <v>dos</v>
          </cell>
        </row>
        <row r="209">
          <cell r="A209" t="str">
            <v>ANTA</v>
          </cell>
          <cell r="B209" t="str">
            <v>Bombon ANTA-ANTA</v>
          </cell>
          <cell r="C209">
            <v>30</v>
          </cell>
          <cell r="D209" t="str">
            <v>pcs</v>
          </cell>
          <cell r="E209">
            <v>4500</v>
          </cell>
          <cell r="F209">
            <v>54000</v>
          </cell>
          <cell r="G209">
            <v>150</v>
          </cell>
        </row>
        <row r="210">
          <cell r="A210" t="str">
            <v>ARLOJI</v>
          </cell>
          <cell r="B210" t="str">
            <v>Bombon ARLOJI</v>
          </cell>
          <cell r="C210">
            <v>40</v>
          </cell>
          <cell r="D210" t="str">
            <v>pcs</v>
          </cell>
          <cell r="E210">
            <v>16083.333333333334</v>
          </cell>
          <cell r="F210">
            <v>193000</v>
          </cell>
          <cell r="G210">
            <v>402.08333333333337</v>
          </cell>
          <cell r="Q210">
            <v>17500</v>
          </cell>
          <cell r="R210">
            <v>40</v>
          </cell>
          <cell r="S210" t="str">
            <v>pak</v>
          </cell>
          <cell r="AA210">
            <v>151000</v>
          </cell>
          <cell r="AB210" t="str">
            <v>dos</v>
          </cell>
        </row>
        <row r="211">
          <cell r="A211" t="str">
            <v>AUTO</v>
          </cell>
          <cell r="B211" t="str">
            <v>Bombon AUTO CHOCO</v>
          </cell>
          <cell r="C211">
            <v>60</v>
          </cell>
          <cell r="D211" t="str">
            <v>tpl</v>
          </cell>
          <cell r="E211">
            <v>16000</v>
          </cell>
          <cell r="F211">
            <v>192000</v>
          </cell>
          <cell r="G211">
            <v>266.66666666666669</v>
          </cell>
          <cell r="Q211">
            <v>17500</v>
          </cell>
          <cell r="R211">
            <v>60</v>
          </cell>
          <cell r="S211" t="str">
            <v>pak</v>
          </cell>
          <cell r="AA211">
            <v>195000</v>
          </cell>
          <cell r="AB211" t="str">
            <v>dos</v>
          </cell>
        </row>
        <row r="212">
          <cell r="A212" t="str">
            <v>BALON</v>
          </cell>
          <cell r="B212" t="str">
            <v>Bombon Balon Magic</v>
          </cell>
          <cell r="C212">
            <v>20</v>
          </cell>
          <cell r="D212" t="str">
            <v>pak</v>
          </cell>
          <cell r="E212">
            <v>7500</v>
          </cell>
          <cell r="F212">
            <v>225000</v>
          </cell>
          <cell r="G212">
            <v>375</v>
          </cell>
        </row>
        <row r="213">
          <cell r="A213" t="str">
            <v>BOLAMATA</v>
          </cell>
          <cell r="B213" t="str">
            <v>Bombon BALON Panjang bola Mata</v>
          </cell>
          <cell r="C213">
            <v>20</v>
          </cell>
          <cell r="D213" t="str">
            <v>pcs</v>
          </cell>
          <cell r="E213">
            <v>8750</v>
          </cell>
          <cell r="F213">
            <v>105000</v>
          </cell>
          <cell r="G213">
            <v>437.5</v>
          </cell>
          <cell r="Q213">
            <v>9500</v>
          </cell>
          <cell r="R213">
            <v>20</v>
          </cell>
          <cell r="S213" t="str">
            <v>pak</v>
          </cell>
          <cell r="AA213">
            <v>253000</v>
          </cell>
          <cell r="AB213" t="str">
            <v>dos</v>
          </cell>
        </row>
        <row r="214">
          <cell r="A214" t="str">
            <v>BESTMAN</v>
          </cell>
          <cell r="B214" t="str">
            <v>Bombon BESTMAN BALON BOX</v>
          </cell>
          <cell r="C214">
            <v>20</v>
          </cell>
          <cell r="D214" t="str">
            <v>pcs</v>
          </cell>
          <cell r="E214">
            <v>15083.333333333334</v>
          </cell>
          <cell r="F214">
            <v>181000</v>
          </cell>
          <cell r="G214">
            <v>754.16666666666674</v>
          </cell>
          <cell r="Q214">
            <v>16500</v>
          </cell>
          <cell r="R214">
            <v>20</v>
          </cell>
          <cell r="S214" t="str">
            <v>pak</v>
          </cell>
        </row>
        <row r="215">
          <cell r="A215" t="str">
            <v>BENNO</v>
          </cell>
          <cell r="B215" t="str">
            <v>Bombon BENNO LOLY</v>
          </cell>
          <cell r="C215">
            <v>30</v>
          </cell>
          <cell r="D215" t="str">
            <v>pak</v>
          </cell>
          <cell r="E215">
            <v>11666.666666666666</v>
          </cell>
          <cell r="F215">
            <v>70000</v>
          </cell>
          <cell r="G215">
            <v>388.88888888888886</v>
          </cell>
          <cell r="Q215">
            <v>14000</v>
          </cell>
          <cell r="R215">
            <v>30</v>
          </cell>
          <cell r="S215" t="str">
            <v>pak</v>
          </cell>
          <cell r="AA215">
            <v>64000</v>
          </cell>
          <cell r="AB215" t="str">
            <v>dos</v>
          </cell>
        </row>
        <row r="216">
          <cell r="A216" t="str">
            <v>BABOLB</v>
          </cell>
          <cell r="B216" t="str">
            <v>Bombon Big Babol besar</v>
          </cell>
          <cell r="C216">
            <v>100</v>
          </cell>
          <cell r="D216" t="str">
            <v>pak</v>
          </cell>
          <cell r="E216">
            <v>23000</v>
          </cell>
          <cell r="F216">
            <v>246000</v>
          </cell>
          <cell r="G216">
            <v>230</v>
          </cell>
          <cell r="Q216">
            <v>24500</v>
          </cell>
          <cell r="S216" t="str">
            <v>pak</v>
          </cell>
        </row>
        <row r="217">
          <cell r="A217" t="str">
            <v>BABOLK</v>
          </cell>
          <cell r="B217" t="str">
            <v>Bombon Big Babol Kecil</v>
          </cell>
          <cell r="C217">
            <v>24</v>
          </cell>
          <cell r="D217" t="str">
            <v>dos</v>
          </cell>
          <cell r="E217">
            <v>143000</v>
          </cell>
          <cell r="G217">
            <v>5958.333333333333</v>
          </cell>
          <cell r="Q217">
            <v>6500</v>
          </cell>
          <cell r="R217">
            <v>24</v>
          </cell>
          <cell r="S217" t="str">
            <v>pak</v>
          </cell>
          <cell r="AA217">
            <v>140000</v>
          </cell>
          <cell r="AB217" t="str">
            <v>dos</v>
          </cell>
        </row>
        <row r="218">
          <cell r="A218" t="str">
            <v>BABOLR</v>
          </cell>
          <cell r="B218" t="str">
            <v>Bombon Big Babol Renteng</v>
          </cell>
          <cell r="C218">
            <v>12</v>
          </cell>
          <cell r="D218" t="str">
            <v>pak</v>
          </cell>
          <cell r="E218">
            <v>20400</v>
          </cell>
          <cell r="F218">
            <v>254500</v>
          </cell>
          <cell r="G218">
            <v>1700</v>
          </cell>
          <cell r="H218">
            <v>2000</v>
          </cell>
          <cell r="Q218">
            <v>22500</v>
          </cell>
          <cell r="S218" t="str">
            <v>pak</v>
          </cell>
        </row>
        <row r="219">
          <cell r="A219" t="str">
            <v>BABOLT</v>
          </cell>
          <cell r="B219" t="str">
            <v>Bombon Big Babol Toples Isi 180 pc</v>
          </cell>
          <cell r="C219">
            <v>180</v>
          </cell>
          <cell r="D219" t="str">
            <v>dos</v>
          </cell>
          <cell r="E219">
            <v>21583.333333333332</v>
          </cell>
          <cell r="F219">
            <v>259000</v>
          </cell>
          <cell r="G219">
            <v>119.9074074074074</v>
          </cell>
        </row>
        <row r="220">
          <cell r="A220" t="str">
            <v>BIGBOSS</v>
          </cell>
          <cell r="B220" t="str">
            <v>Bombon BIG BOSS</v>
          </cell>
          <cell r="C220">
            <v>10</v>
          </cell>
          <cell r="D220" t="str">
            <v>pak</v>
          </cell>
          <cell r="E220">
            <v>3500</v>
          </cell>
          <cell r="F220">
            <v>35000</v>
          </cell>
          <cell r="G220">
            <v>350</v>
          </cell>
          <cell r="R220">
            <v>10</v>
          </cell>
          <cell r="S220" t="str">
            <v>pak</v>
          </cell>
          <cell r="AA220">
            <v>38500</v>
          </cell>
          <cell r="AB220" t="str">
            <v>bal</v>
          </cell>
        </row>
        <row r="221">
          <cell r="A221" t="str">
            <v>BLASTERB</v>
          </cell>
          <cell r="B221" t="str">
            <v>Bombon Blaster Bungkus</v>
          </cell>
          <cell r="C221">
            <v>50</v>
          </cell>
          <cell r="D221" t="str">
            <v>pak</v>
          </cell>
          <cell r="E221">
            <v>4541.666666666667</v>
          </cell>
          <cell r="F221">
            <v>109000</v>
          </cell>
          <cell r="G221">
            <v>90.833333333333343</v>
          </cell>
          <cell r="Q221">
            <v>6000</v>
          </cell>
          <cell r="R221">
            <v>50</v>
          </cell>
          <cell r="S221" t="str">
            <v>pak</v>
          </cell>
        </row>
        <row r="222">
          <cell r="A222" t="str">
            <v>BLASTERC</v>
          </cell>
          <cell r="B222" t="str">
            <v>Bombon Blaster CHEWY</v>
          </cell>
          <cell r="C222">
            <v>50</v>
          </cell>
          <cell r="D222" t="str">
            <v>pak</v>
          </cell>
          <cell r="E222">
            <v>4900</v>
          </cell>
          <cell r="F222">
            <v>98000</v>
          </cell>
          <cell r="G222">
            <v>98</v>
          </cell>
          <cell r="R222">
            <v>50</v>
          </cell>
          <cell r="S222" t="str">
            <v>pak</v>
          </cell>
          <cell r="AA222">
            <v>101000</v>
          </cell>
          <cell r="AB222" t="str">
            <v>dos</v>
          </cell>
        </row>
        <row r="223">
          <cell r="A223" t="str">
            <v>BLASTERK</v>
          </cell>
          <cell r="B223" t="str">
            <v>Bombon Blaster POP Kotak</v>
          </cell>
          <cell r="C223">
            <v>50</v>
          </cell>
          <cell r="D223" t="str">
            <v>pak</v>
          </cell>
          <cell r="E223">
            <v>16333.333333333334</v>
          </cell>
          <cell r="F223">
            <v>98000</v>
          </cell>
          <cell r="G223">
            <v>326.66666666666669</v>
          </cell>
        </row>
        <row r="224">
          <cell r="A224" t="str">
            <v>BLASTERR</v>
          </cell>
          <cell r="B224" t="str">
            <v>Bombon Blaster Pop rtg</v>
          </cell>
          <cell r="C224">
            <v>30</v>
          </cell>
          <cell r="D224" t="str">
            <v>pak</v>
          </cell>
          <cell r="E224">
            <v>14125</v>
          </cell>
          <cell r="F224">
            <v>56500</v>
          </cell>
          <cell r="G224">
            <v>470.83333333333331</v>
          </cell>
          <cell r="Q224">
            <v>15000</v>
          </cell>
          <cell r="R224">
            <v>30</v>
          </cell>
          <cell r="S224" t="str">
            <v>pak</v>
          </cell>
          <cell r="AA224">
            <v>58500</v>
          </cell>
          <cell r="AB224" t="str">
            <v>dos</v>
          </cell>
        </row>
        <row r="225">
          <cell r="A225" t="str">
            <v>CAPILANOS</v>
          </cell>
          <cell r="B225" t="str">
            <v>Bombon Capilanos</v>
          </cell>
          <cell r="C225">
            <v>50</v>
          </cell>
          <cell r="D225" t="str">
            <v>pcs</v>
          </cell>
          <cell r="E225">
            <v>4000</v>
          </cell>
          <cell r="F225">
            <v>80000</v>
          </cell>
          <cell r="G225">
            <v>80</v>
          </cell>
        </row>
        <row r="226">
          <cell r="A226" t="str">
            <v>CELUPPOP</v>
          </cell>
          <cell r="B226" t="str">
            <v>Bombon Celup Pop</v>
          </cell>
          <cell r="C226">
            <v>20</v>
          </cell>
          <cell r="D226" t="str">
            <v>pak</v>
          </cell>
          <cell r="E226">
            <v>8600</v>
          </cell>
          <cell r="F226">
            <v>86000</v>
          </cell>
          <cell r="G226">
            <v>430</v>
          </cell>
        </row>
        <row r="227">
          <cell r="A227" t="str">
            <v>charlotte</v>
          </cell>
          <cell r="B227" t="str">
            <v>Bombon Charlotte</v>
          </cell>
          <cell r="C227">
            <v>20</v>
          </cell>
          <cell r="D227" t="str">
            <v>pak</v>
          </cell>
          <cell r="E227">
            <v>7250</v>
          </cell>
          <cell r="F227">
            <v>145000</v>
          </cell>
          <cell r="G227">
            <v>362.5</v>
          </cell>
          <cell r="Q227">
            <v>8500</v>
          </cell>
          <cell r="R227">
            <v>20</v>
          </cell>
          <cell r="S227" t="str">
            <v>pak</v>
          </cell>
          <cell r="AA227">
            <v>148000</v>
          </cell>
          <cell r="AB227" t="str">
            <v>dos</v>
          </cell>
        </row>
        <row r="228">
          <cell r="A228" t="str">
            <v>CHEWYC</v>
          </cell>
          <cell r="B228" t="str">
            <v>Bombon CHEWY Candy</v>
          </cell>
          <cell r="C228">
            <v>96</v>
          </cell>
          <cell r="D228" t="str">
            <v>pcs</v>
          </cell>
          <cell r="E228">
            <v>38750</v>
          </cell>
          <cell r="F228">
            <v>155000</v>
          </cell>
          <cell r="G228">
            <v>403.64583333333331</v>
          </cell>
          <cell r="Q228">
            <v>41000</v>
          </cell>
          <cell r="R228">
            <v>96</v>
          </cell>
          <cell r="S228" t="str">
            <v>pak</v>
          </cell>
        </row>
        <row r="229">
          <cell r="A229" t="str">
            <v>COLIA</v>
          </cell>
          <cell r="B229" t="str">
            <v>Bombon Colia</v>
          </cell>
          <cell r="C229">
            <v>24</v>
          </cell>
          <cell r="D229" t="str">
            <v>dos</v>
          </cell>
          <cell r="E229">
            <v>69000</v>
          </cell>
          <cell r="G229">
            <v>2875</v>
          </cell>
        </row>
        <row r="230">
          <cell r="A230" t="str">
            <v>DANCING</v>
          </cell>
          <cell r="B230" t="str">
            <v>Bombon DANCING POP</v>
          </cell>
          <cell r="C230">
            <v>40</v>
          </cell>
          <cell r="D230" t="str">
            <v>pcs</v>
          </cell>
          <cell r="E230">
            <v>17500</v>
          </cell>
          <cell r="F230">
            <v>105000</v>
          </cell>
          <cell r="G230">
            <v>437.5</v>
          </cell>
        </row>
        <row r="231">
          <cell r="A231" t="str">
            <v>DOLAR</v>
          </cell>
          <cell r="B231" t="str">
            <v>Bombon DOLAR</v>
          </cell>
          <cell r="C231">
            <v>200</v>
          </cell>
          <cell r="D231" t="str">
            <v>pcs</v>
          </cell>
          <cell r="E231">
            <v>30833.333333333332</v>
          </cell>
          <cell r="F231">
            <v>185000</v>
          </cell>
          <cell r="G231">
            <v>154.16666666666666</v>
          </cell>
          <cell r="Q231">
            <v>33000</v>
          </cell>
          <cell r="R231">
            <v>200</v>
          </cell>
          <cell r="S231" t="str">
            <v>pak</v>
          </cell>
          <cell r="AA231">
            <v>189000</v>
          </cell>
          <cell r="AB231" t="str">
            <v>dos</v>
          </cell>
        </row>
        <row r="232">
          <cell r="A232" t="str">
            <v>DOT</v>
          </cell>
          <cell r="B232" t="str">
            <v>Bombon Dot Sweet Loly</v>
          </cell>
          <cell r="C232">
            <v>20</v>
          </cell>
          <cell r="D232" t="str">
            <v>pcs</v>
          </cell>
          <cell r="E232">
            <v>13875</v>
          </cell>
          <cell r="F232">
            <v>333000</v>
          </cell>
          <cell r="G232">
            <v>693.75</v>
          </cell>
          <cell r="Q232">
            <v>16500</v>
          </cell>
          <cell r="R232">
            <v>20</v>
          </cell>
          <cell r="S232" t="str">
            <v>pak</v>
          </cell>
          <cell r="AA232">
            <v>337000</v>
          </cell>
          <cell r="AB232" t="str">
            <v>dos</v>
          </cell>
        </row>
        <row r="233">
          <cell r="A233" t="str">
            <v>EUROCOIN</v>
          </cell>
          <cell r="B233" t="str">
            <v>Bombon EURO COIN</v>
          </cell>
          <cell r="C233">
            <v>125</v>
          </cell>
          <cell r="D233" t="str">
            <v>pcs</v>
          </cell>
          <cell r="E233">
            <v>36666.666666666664</v>
          </cell>
          <cell r="F233">
            <v>220000</v>
          </cell>
          <cell r="G233">
            <v>293.33333333333331</v>
          </cell>
          <cell r="Q233">
            <v>39000</v>
          </cell>
          <cell r="R233">
            <v>125</v>
          </cell>
          <cell r="S233" t="str">
            <v>topl</v>
          </cell>
        </row>
        <row r="234">
          <cell r="A234" t="str">
            <v>KACAMATA</v>
          </cell>
          <cell r="B234" t="str">
            <v>Bombon Eyeglass/Kacamata</v>
          </cell>
          <cell r="C234">
            <v>40</v>
          </cell>
          <cell r="D234" t="str">
            <v>pcs</v>
          </cell>
          <cell r="E234">
            <v>14125</v>
          </cell>
          <cell r="F234">
            <v>282500</v>
          </cell>
          <cell r="G234">
            <v>353.125</v>
          </cell>
          <cell r="Q234">
            <v>15500</v>
          </cell>
          <cell r="R234">
            <v>40</v>
          </cell>
          <cell r="S234" t="str">
            <v>pak</v>
          </cell>
          <cell r="AA234">
            <v>286500</v>
          </cell>
          <cell r="AB234" t="str">
            <v>dos</v>
          </cell>
        </row>
        <row r="235">
          <cell r="A235" t="str">
            <v>ZOOMASK</v>
          </cell>
          <cell r="B235" t="str">
            <v>Bombon ZOOMASK</v>
          </cell>
          <cell r="C235">
            <v>20</v>
          </cell>
          <cell r="D235" t="str">
            <v>pcs</v>
          </cell>
          <cell r="E235">
            <v>15166.666666666666</v>
          </cell>
          <cell r="F235">
            <v>182000</v>
          </cell>
          <cell r="G235">
            <v>758.33333333333326</v>
          </cell>
          <cell r="Q235">
            <v>17000</v>
          </cell>
          <cell r="R235">
            <v>20</v>
          </cell>
          <cell r="S235" t="str">
            <v>pak</v>
          </cell>
        </row>
        <row r="236">
          <cell r="A236" t="str">
            <v>FOXk</v>
          </cell>
          <cell r="B236" t="str">
            <v>Bombon Foxs bks</v>
          </cell>
          <cell r="C236">
            <v>54</v>
          </cell>
          <cell r="D236" t="str">
            <v>pcs</v>
          </cell>
          <cell r="E236">
            <v>5280.416666666667</v>
          </cell>
          <cell r="F236">
            <v>126730</v>
          </cell>
          <cell r="G236">
            <v>97.785493827160494</v>
          </cell>
          <cell r="Q236">
            <v>6500</v>
          </cell>
          <cell r="R236">
            <v>54</v>
          </cell>
          <cell r="S236" t="str">
            <v>pak</v>
          </cell>
          <cell r="AA236">
            <v>136000</v>
          </cell>
          <cell r="AB236" t="str">
            <v>dos</v>
          </cell>
        </row>
        <row r="237">
          <cell r="A237" t="str">
            <v>FOXb</v>
          </cell>
          <cell r="B237" t="str">
            <v>Bombon Foxs bks Besar</v>
          </cell>
          <cell r="C237">
            <v>12</v>
          </cell>
          <cell r="D237" t="str">
            <v>pak</v>
          </cell>
          <cell r="E237">
            <v>15589.666666666666</v>
          </cell>
          <cell r="F237">
            <v>187076</v>
          </cell>
          <cell r="G237">
            <v>1299.1388888888889</v>
          </cell>
          <cell r="Q237">
            <v>16500</v>
          </cell>
          <cell r="R237">
            <v>12</v>
          </cell>
          <cell r="S237" t="str">
            <v>pak</v>
          </cell>
          <cell r="AA237">
            <v>190000</v>
          </cell>
          <cell r="AB237" t="str">
            <v>dos</v>
          </cell>
        </row>
        <row r="238">
          <cell r="A238" t="str">
            <v>FRUTELA</v>
          </cell>
          <cell r="B238" t="str">
            <v>Bombon Frutela</v>
          </cell>
          <cell r="C238">
            <v>42</v>
          </cell>
          <cell r="D238" t="str">
            <v>pcs</v>
          </cell>
          <cell r="E238">
            <v>3100</v>
          </cell>
          <cell r="G238">
            <v>73.80952380952381</v>
          </cell>
        </row>
        <row r="239">
          <cell r="A239" t="str">
            <v>HAICANDY</v>
          </cell>
          <cell r="B239" t="str">
            <v>Bombon HAI STRIPES CANDY</v>
          </cell>
          <cell r="C239">
            <v>54</v>
          </cell>
          <cell r="D239" t="str">
            <v>pcs</v>
          </cell>
          <cell r="E239">
            <v>15000</v>
          </cell>
          <cell r="F239">
            <v>120000</v>
          </cell>
          <cell r="G239">
            <v>277.77777777777777</v>
          </cell>
          <cell r="Q239">
            <v>16500</v>
          </cell>
          <cell r="R239">
            <v>54</v>
          </cell>
          <cell r="S239" t="str">
            <v>pak</v>
          </cell>
          <cell r="AA239">
            <v>123000</v>
          </cell>
          <cell r="AB239" t="str">
            <v>dos</v>
          </cell>
        </row>
        <row r="240">
          <cell r="A240" t="str">
            <v>KURANGASEM</v>
          </cell>
          <cell r="B240" t="str">
            <v>Bombon HOT KURANG ASEM</v>
          </cell>
          <cell r="C240">
            <v>47</v>
          </cell>
          <cell r="D240" t="str">
            <v>pcs</v>
          </cell>
          <cell r="E240">
            <v>3950</v>
          </cell>
          <cell r="F240">
            <v>79000</v>
          </cell>
          <cell r="G240">
            <v>84.042553191489361</v>
          </cell>
          <cell r="Q240">
            <v>4500</v>
          </cell>
          <cell r="R240">
            <v>47</v>
          </cell>
          <cell r="S240" t="str">
            <v>pak</v>
          </cell>
          <cell r="AA240">
            <v>82500</v>
          </cell>
          <cell r="AB240" t="str">
            <v>dos</v>
          </cell>
        </row>
        <row r="241">
          <cell r="A241" t="str">
            <v>NEON</v>
          </cell>
          <cell r="B241" t="str">
            <v>Bombon Jagoan Neon</v>
          </cell>
          <cell r="C241">
            <v>30</v>
          </cell>
          <cell r="D241" t="str">
            <v>pcs</v>
          </cell>
          <cell r="E241">
            <v>11166.666666666666</v>
          </cell>
          <cell r="F241">
            <v>67000</v>
          </cell>
          <cell r="G241">
            <v>372.22222222222223</v>
          </cell>
          <cell r="Q241">
            <v>12000</v>
          </cell>
          <cell r="R241">
            <v>30</v>
          </cell>
          <cell r="S241" t="str">
            <v>pak</v>
          </cell>
          <cell r="AA241">
            <v>69500</v>
          </cell>
          <cell r="AB241" t="str">
            <v>dos</v>
          </cell>
        </row>
        <row r="242">
          <cell r="A242" t="str">
            <v>KAKIP</v>
          </cell>
          <cell r="B242" t="str">
            <v>Bombon Kaki / hot-hot PAK</v>
          </cell>
          <cell r="C242">
            <v>25</v>
          </cell>
          <cell r="D242" t="str">
            <v>pcs</v>
          </cell>
          <cell r="E242">
            <v>4640</v>
          </cell>
          <cell r="F242">
            <v>232000</v>
          </cell>
          <cell r="G242">
            <v>185.6</v>
          </cell>
          <cell r="Q242">
            <v>6500</v>
          </cell>
          <cell r="R242">
            <v>25</v>
          </cell>
          <cell r="S242" t="str">
            <v xml:space="preserve">pak </v>
          </cell>
          <cell r="AA242">
            <v>224000</v>
          </cell>
          <cell r="AB242" t="str">
            <v>dos</v>
          </cell>
        </row>
        <row r="243">
          <cell r="A243" t="str">
            <v>KAKIR</v>
          </cell>
          <cell r="B243" t="str">
            <v>Bombon Kaki / hot-hot RENTENG</v>
          </cell>
          <cell r="C243">
            <v>16</v>
          </cell>
          <cell r="D243" t="str">
            <v>pcs</v>
          </cell>
          <cell r="E243">
            <v>7312.5</v>
          </cell>
          <cell r="F243">
            <v>117000</v>
          </cell>
          <cell r="G243">
            <v>457.03125</v>
          </cell>
          <cell r="Q243">
            <v>8000</v>
          </cell>
          <cell r="R243">
            <v>16</v>
          </cell>
          <cell r="S243" t="str">
            <v xml:space="preserve">pak </v>
          </cell>
          <cell r="AA243">
            <v>224000</v>
          </cell>
          <cell r="AB243" t="str">
            <v>dos</v>
          </cell>
        </row>
        <row r="244">
          <cell r="A244" t="str">
            <v>NBA</v>
          </cell>
          <cell r="B244" t="str">
            <v>Bombon Karet NBA Toples</v>
          </cell>
          <cell r="C244">
            <v>60</v>
          </cell>
          <cell r="D244" t="str">
            <v>pcs</v>
          </cell>
          <cell r="E244">
            <v>23333.333333333332</v>
          </cell>
          <cell r="F244">
            <v>140000</v>
          </cell>
          <cell r="G244">
            <v>388.88888888888886</v>
          </cell>
          <cell r="Q244">
            <v>26000</v>
          </cell>
          <cell r="R244">
            <v>60</v>
          </cell>
          <cell r="S244" t="str">
            <v>topl</v>
          </cell>
        </row>
        <row r="245">
          <cell r="A245" t="str">
            <v>RHINO</v>
          </cell>
          <cell r="B245" t="str">
            <v>Bombon Karet Rhino</v>
          </cell>
          <cell r="C245">
            <v>200</v>
          </cell>
          <cell r="D245" t="str">
            <v>pcs</v>
          </cell>
          <cell r="E245">
            <v>28166.666666666668</v>
          </cell>
          <cell r="F245">
            <v>169000</v>
          </cell>
          <cell r="G245">
            <v>140.83333333333334</v>
          </cell>
          <cell r="Q245">
            <v>31000</v>
          </cell>
          <cell r="R245">
            <v>200</v>
          </cell>
          <cell r="S245" t="str">
            <v>topl</v>
          </cell>
          <cell r="AA245">
            <v>113000</v>
          </cell>
          <cell r="AB245" t="str">
            <v>dos</v>
          </cell>
        </row>
        <row r="246">
          <cell r="A246" t="str">
            <v>KISS</v>
          </cell>
          <cell r="B246" t="str">
            <v>Bombon Kiss</v>
          </cell>
          <cell r="C246">
            <v>50</v>
          </cell>
          <cell r="D246" t="str">
            <v>pcs</v>
          </cell>
          <cell r="E246">
            <v>4600.0166666666664</v>
          </cell>
          <cell r="F246">
            <v>110400.4</v>
          </cell>
          <cell r="G246">
            <v>92.00033333333333</v>
          </cell>
          <cell r="H246">
            <v>166.66666666666666</v>
          </cell>
          <cell r="I246" t="str">
            <v>PC</v>
          </cell>
          <cell r="J246">
            <v>166.66666666666666</v>
          </cell>
          <cell r="K246" t="str">
            <v>PC</v>
          </cell>
          <cell r="L246">
            <v>166.66666666666666</v>
          </cell>
          <cell r="M246" t="str">
            <v>PC</v>
          </cell>
          <cell r="Q246">
            <v>6000</v>
          </cell>
          <cell r="R246">
            <v>50</v>
          </cell>
          <cell r="S246" t="str">
            <v xml:space="preserve">pak </v>
          </cell>
          <cell r="AA246">
            <v>113000</v>
          </cell>
          <cell r="AB246" t="str">
            <v>dos</v>
          </cell>
        </row>
        <row r="247">
          <cell r="A247" t="str">
            <v>KOPIKO</v>
          </cell>
          <cell r="B247" t="str">
            <v>Bombon Kopiko</v>
          </cell>
          <cell r="C247">
            <v>50</v>
          </cell>
          <cell r="D247" t="str">
            <v>pcs</v>
          </cell>
          <cell r="E247">
            <v>5600.0083333333341</v>
          </cell>
          <cell r="F247">
            <v>134400.20000000001</v>
          </cell>
          <cell r="G247">
            <v>112.00016666666669</v>
          </cell>
          <cell r="Q247">
            <v>6500</v>
          </cell>
          <cell r="R247">
            <v>50</v>
          </cell>
          <cell r="S247" t="str">
            <v>pak</v>
          </cell>
          <cell r="AA247">
            <v>135000</v>
          </cell>
          <cell r="AB247" t="str">
            <v>dos</v>
          </cell>
        </row>
        <row r="248">
          <cell r="A248" t="str">
            <v>LOLLYPOPS</v>
          </cell>
          <cell r="B248" t="str">
            <v>Bombon LOLLYPOP'S HADIAH</v>
          </cell>
          <cell r="C248">
            <v>20</v>
          </cell>
          <cell r="D248" t="str">
            <v>pcs</v>
          </cell>
          <cell r="E248">
            <v>8833.3333333333339</v>
          </cell>
          <cell r="F248">
            <v>265000</v>
          </cell>
          <cell r="G248">
            <v>441.66666666666669</v>
          </cell>
          <cell r="Q248">
            <v>10000</v>
          </cell>
          <cell r="R248">
            <v>20</v>
          </cell>
          <cell r="S248" t="str">
            <v>pak</v>
          </cell>
          <cell r="AA248">
            <v>253000</v>
          </cell>
          <cell r="AB248" t="str">
            <v>dos</v>
          </cell>
        </row>
        <row r="249">
          <cell r="A249" t="str">
            <v>MILENA</v>
          </cell>
          <cell r="B249" t="str">
            <v>Bombon Loly Milena</v>
          </cell>
          <cell r="C249">
            <v>30</v>
          </cell>
          <cell r="D249" t="str">
            <v>pcs</v>
          </cell>
          <cell r="E249">
            <v>11666.666666666666</v>
          </cell>
          <cell r="F249">
            <v>70000</v>
          </cell>
          <cell r="G249">
            <v>388.88888888888886</v>
          </cell>
          <cell r="Q249">
            <v>13500</v>
          </cell>
          <cell r="R249">
            <v>30</v>
          </cell>
          <cell r="S249" t="str">
            <v>pak</v>
          </cell>
        </row>
        <row r="250">
          <cell r="A250" t="str">
            <v>MGC</v>
          </cell>
          <cell r="B250" t="str">
            <v>Bombon LOLY PITA MGC</v>
          </cell>
          <cell r="C250">
            <v>20</v>
          </cell>
          <cell r="D250" t="str">
            <v>pcs</v>
          </cell>
          <cell r="E250">
            <v>13000</v>
          </cell>
          <cell r="G250">
            <v>650</v>
          </cell>
          <cell r="Q250">
            <v>14500</v>
          </cell>
          <cell r="R250">
            <v>20</v>
          </cell>
          <cell r="S250" t="str">
            <v>pak</v>
          </cell>
          <cell r="AA250" t="str">
            <v xml:space="preserve">                  </v>
          </cell>
        </row>
        <row r="251">
          <cell r="A251" t="str">
            <v>COLOURPOP</v>
          </cell>
          <cell r="B251" t="str">
            <v>Bombon Colour POP TOPLES</v>
          </cell>
          <cell r="C251">
            <v>60</v>
          </cell>
          <cell r="D251" t="str">
            <v>pcs</v>
          </cell>
          <cell r="E251">
            <v>18166.666666666668</v>
          </cell>
          <cell r="F251">
            <v>109000</v>
          </cell>
          <cell r="G251">
            <v>302.77777777777777</v>
          </cell>
          <cell r="Q251">
            <v>21000</v>
          </cell>
          <cell r="R251">
            <v>60</v>
          </cell>
          <cell r="S251" t="str">
            <v>topl</v>
          </cell>
          <cell r="AA251">
            <v>111000</v>
          </cell>
          <cell r="AB251" t="str">
            <v>dos</v>
          </cell>
        </row>
        <row r="252">
          <cell r="A252" t="str">
            <v>SPRAY</v>
          </cell>
          <cell r="B252" t="str">
            <v xml:space="preserve">Bombon Magic Spray </v>
          </cell>
          <cell r="C252">
            <v>24</v>
          </cell>
          <cell r="D252" t="str">
            <v>pcs</v>
          </cell>
          <cell r="E252">
            <v>18250</v>
          </cell>
          <cell r="F252">
            <v>146000</v>
          </cell>
          <cell r="G252">
            <v>760.41666666666663</v>
          </cell>
          <cell r="Q252">
            <v>19500</v>
          </cell>
          <cell r="R252">
            <v>24</v>
          </cell>
          <cell r="S252" t="str">
            <v>pak</v>
          </cell>
          <cell r="AA252">
            <v>148500</v>
          </cell>
          <cell r="AB252" t="str">
            <v>dos</v>
          </cell>
        </row>
        <row r="253">
          <cell r="A253" t="str">
            <v>Glow</v>
          </cell>
          <cell r="B253" t="str">
            <v>Bombon Majig Glow</v>
          </cell>
          <cell r="C253">
            <v>20</v>
          </cell>
          <cell r="D253" t="str">
            <v>pcs</v>
          </cell>
          <cell r="E253">
            <v>9000</v>
          </cell>
          <cell r="F253">
            <v>180000</v>
          </cell>
          <cell r="G253">
            <v>450</v>
          </cell>
          <cell r="Q253">
            <v>10000</v>
          </cell>
          <cell r="R253">
            <v>20</v>
          </cell>
          <cell r="S253" t="str">
            <v>pak</v>
          </cell>
          <cell r="AA253">
            <v>177500</v>
          </cell>
          <cell r="AB253" t="str">
            <v>dos</v>
          </cell>
        </row>
        <row r="254">
          <cell r="A254" t="str">
            <v>MAGICL</v>
          </cell>
          <cell r="B254" t="str">
            <v>Bombon MAGIC LOLY POP</v>
          </cell>
          <cell r="C254">
            <v>24</v>
          </cell>
          <cell r="D254" t="str">
            <v>pcs</v>
          </cell>
          <cell r="E254">
            <v>19050</v>
          </cell>
          <cell r="F254">
            <v>381000</v>
          </cell>
          <cell r="G254">
            <v>793.75</v>
          </cell>
          <cell r="Q254">
            <v>21000</v>
          </cell>
          <cell r="R254">
            <v>24</v>
          </cell>
          <cell r="S254" t="str">
            <v>pak</v>
          </cell>
        </row>
        <row r="255">
          <cell r="A255" t="str">
            <v>MARBEL</v>
          </cell>
          <cell r="B255" t="str">
            <v>Bombon Marbel</v>
          </cell>
          <cell r="C255">
            <v>26</v>
          </cell>
          <cell r="D255" t="str">
            <v>pak</v>
          </cell>
          <cell r="E255">
            <v>10200</v>
          </cell>
          <cell r="F255">
            <v>51000</v>
          </cell>
          <cell r="G255">
            <v>392.30769230769232</v>
          </cell>
          <cell r="Q255">
            <v>11000</v>
          </cell>
          <cell r="R255">
            <v>26</v>
          </cell>
          <cell r="S255" t="str">
            <v>pak</v>
          </cell>
          <cell r="AA255">
            <v>53000</v>
          </cell>
          <cell r="AB255" t="str">
            <v>dos</v>
          </cell>
        </row>
        <row r="256">
          <cell r="A256" t="str">
            <v>MALLOWP</v>
          </cell>
          <cell r="B256" t="str">
            <v>Bombon Marsmallow Ulir/Bulat</v>
          </cell>
          <cell r="C256">
            <v>20</v>
          </cell>
          <cell r="D256" t="str">
            <v>pcs</v>
          </cell>
          <cell r="E256">
            <v>8600</v>
          </cell>
          <cell r="F256">
            <v>172000</v>
          </cell>
          <cell r="G256">
            <v>430</v>
          </cell>
          <cell r="Q256">
            <v>9500</v>
          </cell>
          <cell r="R256">
            <v>20</v>
          </cell>
          <cell r="S256" t="str">
            <v>pak</v>
          </cell>
        </row>
        <row r="257">
          <cell r="A257" t="str">
            <v>MENTOSB</v>
          </cell>
          <cell r="B257" t="str">
            <v>Bombon Mentos B</v>
          </cell>
          <cell r="C257">
            <v>165</v>
          </cell>
          <cell r="D257" t="str">
            <v>pak</v>
          </cell>
          <cell r="E257">
            <v>13500</v>
          </cell>
          <cell r="F257">
            <v>13500</v>
          </cell>
          <cell r="G257">
            <v>81.818181818181813</v>
          </cell>
        </row>
        <row r="258">
          <cell r="A258" t="str">
            <v>MENTOSK</v>
          </cell>
          <cell r="B258" t="str">
            <v>Bombon Mentos K</v>
          </cell>
          <cell r="C258">
            <v>5</v>
          </cell>
          <cell r="D258" t="str">
            <v>pak</v>
          </cell>
          <cell r="E258">
            <v>28500</v>
          </cell>
          <cell r="G258">
            <v>5700</v>
          </cell>
          <cell r="Q258">
            <v>6500</v>
          </cell>
          <cell r="R258">
            <v>5</v>
          </cell>
          <cell r="S258" t="str">
            <v>pak</v>
          </cell>
        </row>
        <row r="259">
          <cell r="A259" t="str">
            <v>ANEKAB</v>
          </cell>
          <cell r="B259" t="str">
            <v>Bombon ANEKA BALON</v>
          </cell>
          <cell r="C259">
            <v>20</v>
          </cell>
          <cell r="D259" t="str">
            <v>pak</v>
          </cell>
          <cell r="E259">
            <v>7840</v>
          </cell>
          <cell r="F259">
            <v>392000</v>
          </cell>
          <cell r="G259">
            <v>392</v>
          </cell>
          <cell r="Q259">
            <v>9500</v>
          </cell>
          <cell r="R259">
            <v>20</v>
          </cell>
          <cell r="S259" t="str">
            <v>pak</v>
          </cell>
        </row>
        <row r="260">
          <cell r="A260" t="str">
            <v>LONGSTICKT</v>
          </cell>
          <cell r="B260" t="str">
            <v>Bombon long stik isi 60</v>
          </cell>
          <cell r="C260">
            <v>60</v>
          </cell>
          <cell r="D260" t="str">
            <v>tpls</v>
          </cell>
          <cell r="E260">
            <v>23166.666666666668</v>
          </cell>
          <cell r="F260">
            <v>139000</v>
          </cell>
          <cell r="G260">
            <v>386.11111111111114</v>
          </cell>
          <cell r="Q260">
            <v>26000</v>
          </cell>
          <cell r="R260">
            <v>60</v>
          </cell>
          <cell r="S260" t="str">
            <v>tpls</v>
          </cell>
        </row>
        <row r="261">
          <cell r="A261" t="str">
            <v>KITTY</v>
          </cell>
          <cell r="B261" t="str">
            <v>Bombon Hello Kitty Toples</v>
          </cell>
          <cell r="C261">
            <v>60</v>
          </cell>
          <cell r="D261" t="str">
            <v>tpls</v>
          </cell>
          <cell r="E261">
            <v>23333.333333333332</v>
          </cell>
          <cell r="F261">
            <v>140000</v>
          </cell>
          <cell r="G261">
            <v>388.88888888888886</v>
          </cell>
          <cell r="Q261">
            <v>26000</v>
          </cell>
          <cell r="R261">
            <v>60</v>
          </cell>
          <cell r="S261" t="str">
            <v>tpls</v>
          </cell>
          <cell r="AA261">
            <v>143000</v>
          </cell>
          <cell r="AB261" t="str">
            <v>dos</v>
          </cell>
        </row>
        <row r="262">
          <cell r="A262" t="str">
            <v>DYNAMITE</v>
          </cell>
          <cell r="B262" t="str">
            <v>Bombon Dynamite</v>
          </cell>
          <cell r="C262">
            <v>50</v>
          </cell>
          <cell r="D262" t="str">
            <v>pak</v>
          </cell>
          <cell r="E262">
            <v>3750</v>
          </cell>
          <cell r="F262">
            <v>90000</v>
          </cell>
          <cell r="G262">
            <v>75</v>
          </cell>
          <cell r="Q262">
            <v>6000</v>
          </cell>
          <cell r="R262">
            <v>50</v>
          </cell>
          <cell r="S262" t="str">
            <v>tpls</v>
          </cell>
          <cell r="AA262">
            <v>93000</v>
          </cell>
          <cell r="AB262" t="str">
            <v>dos</v>
          </cell>
        </row>
        <row r="263">
          <cell r="A263" t="str">
            <v>HAPHAP</v>
          </cell>
          <cell r="B263" t="str">
            <v>Bombon HAP  HAP</v>
          </cell>
          <cell r="C263">
            <v>12</v>
          </cell>
          <cell r="D263" t="str">
            <v>tpls</v>
          </cell>
          <cell r="E263">
            <v>120000</v>
          </cell>
          <cell r="G263">
            <v>10000</v>
          </cell>
          <cell r="Q263">
            <v>12000</v>
          </cell>
          <cell r="R263">
            <v>60</v>
          </cell>
          <cell r="S263" t="str">
            <v>tpls</v>
          </cell>
          <cell r="AA263">
            <v>124000</v>
          </cell>
          <cell r="AB263" t="str">
            <v>dos</v>
          </cell>
        </row>
        <row r="264">
          <cell r="A264" t="str">
            <v>CETAR</v>
          </cell>
          <cell r="B264" t="str">
            <v>Bombon CETAR</v>
          </cell>
          <cell r="C264">
            <v>24</v>
          </cell>
          <cell r="D264" t="str">
            <v>pak</v>
          </cell>
          <cell r="E264">
            <v>87500</v>
          </cell>
          <cell r="G264">
            <v>3645.8333333333335</v>
          </cell>
          <cell r="Q264">
            <v>5000</v>
          </cell>
          <cell r="R264">
            <v>45</v>
          </cell>
          <cell r="S264" t="str">
            <v>pak</v>
          </cell>
          <cell r="AA264">
            <v>89000</v>
          </cell>
          <cell r="AB264" t="str">
            <v>dos</v>
          </cell>
        </row>
        <row r="265">
          <cell r="A265" t="str">
            <v>RINGGO</v>
          </cell>
          <cell r="B265" t="str">
            <v>Bombon RINGGO toples isi 50</v>
          </cell>
          <cell r="C265">
            <v>50</v>
          </cell>
          <cell r="D265" t="str">
            <v>tpls</v>
          </cell>
          <cell r="E265">
            <v>18166.666666666668</v>
          </cell>
          <cell r="F265">
            <v>109000</v>
          </cell>
          <cell r="G265">
            <v>363.33333333333337</v>
          </cell>
          <cell r="Q265">
            <v>21000</v>
          </cell>
          <cell r="R265">
            <v>50</v>
          </cell>
          <cell r="S265" t="str">
            <v>tpls</v>
          </cell>
        </row>
        <row r="266">
          <cell r="A266" t="str">
            <v>MENTOSROLL</v>
          </cell>
          <cell r="B266" t="str">
            <v>Bombon Mentos Roll Topl</v>
          </cell>
          <cell r="C266">
            <v>75</v>
          </cell>
          <cell r="D266" t="str">
            <v>topl</v>
          </cell>
          <cell r="E266">
            <v>29000</v>
          </cell>
          <cell r="G266">
            <v>386.66666666666669</v>
          </cell>
        </row>
        <row r="267">
          <cell r="A267" t="str">
            <v>MEXICO</v>
          </cell>
          <cell r="B267" t="str">
            <v>Bombon MEXICO</v>
          </cell>
          <cell r="C267">
            <v>24</v>
          </cell>
          <cell r="D267" t="str">
            <v>pak</v>
          </cell>
          <cell r="E267">
            <v>18500</v>
          </cell>
          <cell r="F267">
            <v>222000</v>
          </cell>
          <cell r="G267">
            <v>770.83333333333337</v>
          </cell>
          <cell r="H267">
            <v>1000</v>
          </cell>
          <cell r="I267" t="str">
            <v>pc</v>
          </cell>
          <cell r="J267">
            <v>1000</v>
          </cell>
          <cell r="K267" t="str">
            <v>pc</v>
          </cell>
          <cell r="L267">
            <v>1000</v>
          </cell>
          <cell r="M267" t="str">
            <v>pc</v>
          </cell>
          <cell r="Q267">
            <v>21000</v>
          </cell>
          <cell r="R267">
            <v>24</v>
          </cell>
          <cell r="S267" t="str">
            <v>pak</v>
          </cell>
          <cell r="AA267">
            <v>226000</v>
          </cell>
          <cell r="AB267" t="str">
            <v>dos</v>
          </cell>
        </row>
        <row r="268">
          <cell r="A268" t="str">
            <v>MILKITAP</v>
          </cell>
          <cell r="B268" t="str">
            <v>Bombon Milkita PAK isi 50</v>
          </cell>
          <cell r="C268">
            <v>50</v>
          </cell>
          <cell r="D268" t="str">
            <v>pak</v>
          </cell>
          <cell r="E268">
            <v>20166.666666666668</v>
          </cell>
          <cell r="F268">
            <v>121000</v>
          </cell>
          <cell r="G268">
            <v>403.33333333333337</v>
          </cell>
          <cell r="Q268">
            <v>22500</v>
          </cell>
          <cell r="R268">
            <v>50</v>
          </cell>
          <cell r="S268" t="str">
            <v>pak</v>
          </cell>
        </row>
        <row r="269">
          <cell r="A269" t="str">
            <v>MILKITAH</v>
          </cell>
          <cell r="B269" t="str">
            <v>Bombon Milkita Hanger isi 36</v>
          </cell>
          <cell r="C269">
            <v>36</v>
          </cell>
          <cell r="D269" t="str">
            <v>pak</v>
          </cell>
          <cell r="E269">
            <v>18500</v>
          </cell>
          <cell r="F269">
            <v>18500</v>
          </cell>
          <cell r="G269">
            <v>513.88888888888891</v>
          </cell>
          <cell r="Q269">
            <v>17000</v>
          </cell>
          <cell r="R269">
            <v>36</v>
          </cell>
          <cell r="S269" t="str">
            <v>pak</v>
          </cell>
        </row>
        <row r="270">
          <cell r="A270" t="str">
            <v>MILKITAR</v>
          </cell>
          <cell r="B270" t="str">
            <v>Bombon Milkita ISI 30</v>
          </cell>
          <cell r="C270">
            <v>30</v>
          </cell>
          <cell r="D270" t="str">
            <v>pak</v>
          </cell>
          <cell r="E270">
            <v>3700</v>
          </cell>
          <cell r="F270">
            <v>3700</v>
          </cell>
          <cell r="G270">
            <v>123.33333333333333</v>
          </cell>
          <cell r="Q270">
            <v>5000</v>
          </cell>
          <cell r="R270">
            <v>30</v>
          </cell>
          <cell r="S270" t="str">
            <v>pak</v>
          </cell>
          <cell r="AA270">
            <v>76000</v>
          </cell>
          <cell r="AB270" t="str">
            <v>dos</v>
          </cell>
        </row>
        <row r="271">
          <cell r="A271" t="str">
            <v>MINIBALL</v>
          </cell>
          <cell r="B271" t="str">
            <v>Bombon Mini Ball isi 100</v>
          </cell>
          <cell r="C271">
            <v>100</v>
          </cell>
          <cell r="D271" t="str">
            <v>pak</v>
          </cell>
          <cell r="E271">
            <v>21083.333333333332</v>
          </cell>
          <cell r="F271">
            <v>21083.333333333332</v>
          </cell>
          <cell r="G271">
            <v>210.83333333333331</v>
          </cell>
          <cell r="Q271">
            <v>23500</v>
          </cell>
          <cell r="R271">
            <v>100</v>
          </cell>
          <cell r="S271" t="str">
            <v>pak</v>
          </cell>
          <cell r="AA271">
            <v>129000</v>
          </cell>
          <cell r="AB271" t="str">
            <v>dos</v>
          </cell>
        </row>
        <row r="272">
          <cell r="A272" t="str">
            <v>MINZB</v>
          </cell>
          <cell r="B272" t="str">
            <v>Bombon Minz Bungkus</v>
          </cell>
          <cell r="C272">
            <v>47</v>
          </cell>
          <cell r="D272" t="str">
            <v>pcs</v>
          </cell>
          <cell r="E272">
            <v>5500</v>
          </cell>
          <cell r="F272">
            <v>110000</v>
          </cell>
          <cell r="G272">
            <v>117.02127659574468</v>
          </cell>
          <cell r="Q272">
            <v>6500</v>
          </cell>
          <cell r="R272">
            <v>47</v>
          </cell>
          <cell r="S272" t="str">
            <v>pak</v>
          </cell>
        </row>
        <row r="273">
          <cell r="A273" t="str">
            <v>MOROKO</v>
          </cell>
          <cell r="B273" t="str">
            <v xml:space="preserve">Bombon MorokoTato </v>
          </cell>
          <cell r="C273">
            <v>20</v>
          </cell>
          <cell r="D273" t="str">
            <v>pcs</v>
          </cell>
          <cell r="E273">
            <v>8100</v>
          </cell>
          <cell r="F273">
            <v>162000</v>
          </cell>
          <cell r="G273">
            <v>405</v>
          </cell>
          <cell r="Q273">
            <v>9500</v>
          </cell>
          <cell r="R273">
            <v>20</v>
          </cell>
          <cell r="S273" t="str">
            <v>pak</v>
          </cell>
          <cell r="AA273">
            <v>166000</v>
          </cell>
          <cell r="AB273" t="str">
            <v>dos</v>
          </cell>
        </row>
        <row r="274">
          <cell r="A274" t="str">
            <v>PAPER</v>
          </cell>
          <cell r="B274" t="str">
            <v>Bombon Paper Mint</v>
          </cell>
          <cell r="C274">
            <v>40</v>
          </cell>
          <cell r="D274" t="str">
            <v>pcs</v>
          </cell>
          <cell r="E274">
            <v>20000</v>
          </cell>
          <cell r="F274">
            <v>400000</v>
          </cell>
          <cell r="G274">
            <v>500</v>
          </cell>
          <cell r="H274">
            <v>1000</v>
          </cell>
          <cell r="I274" t="str">
            <v>pc</v>
          </cell>
          <cell r="J274">
            <v>1000</v>
          </cell>
          <cell r="K274" t="str">
            <v>pc</v>
          </cell>
          <cell r="L274">
            <v>1000</v>
          </cell>
          <cell r="M274" t="str">
            <v>pc</v>
          </cell>
          <cell r="Q274">
            <v>22000</v>
          </cell>
          <cell r="R274">
            <v>40</v>
          </cell>
          <cell r="S274" t="str">
            <v>pak</v>
          </cell>
          <cell r="AA274">
            <v>404000</v>
          </cell>
          <cell r="AB274" t="str">
            <v>dos</v>
          </cell>
        </row>
        <row r="275">
          <cell r="A275" t="str">
            <v>GLOW</v>
          </cell>
          <cell r="B275" t="str">
            <v>Bombon Parago Majic Glow</v>
          </cell>
          <cell r="C275">
            <v>20</v>
          </cell>
          <cell r="D275" t="str">
            <v>pcs</v>
          </cell>
          <cell r="E275">
            <v>12250</v>
          </cell>
          <cell r="F275">
            <v>98000</v>
          </cell>
          <cell r="G275">
            <v>612.5</v>
          </cell>
          <cell r="H275">
            <v>1000</v>
          </cell>
          <cell r="I275" t="str">
            <v>pc</v>
          </cell>
          <cell r="J275">
            <v>1000</v>
          </cell>
          <cell r="K275" t="str">
            <v>pc</v>
          </cell>
          <cell r="L275">
            <v>1000</v>
          </cell>
          <cell r="M275" t="str">
            <v>pc</v>
          </cell>
          <cell r="Q275">
            <v>14500</v>
          </cell>
          <cell r="R275">
            <v>20</v>
          </cell>
          <cell r="S275" t="str">
            <v>pak</v>
          </cell>
          <cell r="AA275">
            <v>102000</v>
          </cell>
          <cell r="AB275" t="str">
            <v>dos</v>
          </cell>
        </row>
        <row r="276">
          <cell r="A276" t="str">
            <v>PARAGO</v>
          </cell>
          <cell r="B276" t="str">
            <v>Bombon Parago MILK Chewy Candy</v>
          </cell>
          <cell r="C276">
            <v>80</v>
          </cell>
          <cell r="D276" t="str">
            <v>pcs</v>
          </cell>
          <cell r="E276">
            <v>21250</v>
          </cell>
          <cell r="F276">
            <v>170000</v>
          </cell>
          <cell r="G276">
            <v>265.625</v>
          </cell>
          <cell r="Q276">
            <v>23000</v>
          </cell>
          <cell r="R276">
            <v>80</v>
          </cell>
          <cell r="S276" t="str">
            <v>pak</v>
          </cell>
          <cell r="AA276">
            <v>171000</v>
          </cell>
          <cell r="AB276" t="str">
            <v>dos</v>
          </cell>
        </row>
        <row r="277">
          <cell r="A277" t="str">
            <v>PAYUNGK</v>
          </cell>
          <cell r="B277" t="str">
            <v>Bombon Payung POP CHOC CLASIC</v>
          </cell>
          <cell r="C277">
            <v>50</v>
          </cell>
          <cell r="D277" t="str">
            <v>pcs</v>
          </cell>
          <cell r="E277">
            <v>16333.333333333334</v>
          </cell>
          <cell r="F277">
            <v>196000</v>
          </cell>
          <cell r="G277">
            <v>326.66666666666669</v>
          </cell>
          <cell r="Q277">
            <v>19000</v>
          </cell>
          <cell r="R277">
            <v>50</v>
          </cell>
          <cell r="S277" t="str">
            <v>topl</v>
          </cell>
          <cell r="AA277">
            <v>180000</v>
          </cell>
          <cell r="AB277" t="str">
            <v>dos</v>
          </cell>
        </row>
        <row r="278">
          <cell r="A278" t="str">
            <v>PAYUNGB</v>
          </cell>
          <cell r="B278" t="str">
            <v>Bombon Payung CHOCO TIME</v>
          </cell>
          <cell r="C278">
            <v>50</v>
          </cell>
          <cell r="D278" t="str">
            <v>pcs</v>
          </cell>
          <cell r="E278">
            <v>19083.333333333332</v>
          </cell>
          <cell r="F278">
            <v>229000</v>
          </cell>
          <cell r="G278">
            <v>381.66666666666663</v>
          </cell>
          <cell r="Q278">
            <v>22000</v>
          </cell>
          <cell r="R278">
            <v>50</v>
          </cell>
          <cell r="S278" t="str">
            <v>topl</v>
          </cell>
        </row>
        <row r="279">
          <cell r="A279" t="str">
            <v>PUSLOLLY</v>
          </cell>
          <cell r="B279" t="str">
            <v>Bombon PUSLOLLY</v>
          </cell>
          <cell r="C279">
            <v>60</v>
          </cell>
          <cell r="D279" t="str">
            <v>pcs</v>
          </cell>
          <cell r="E279">
            <v>34166.666666666664</v>
          </cell>
          <cell r="F279">
            <v>205000</v>
          </cell>
          <cell r="G279">
            <v>569.44444444444446</v>
          </cell>
          <cell r="Q279">
            <v>36000</v>
          </cell>
          <cell r="R279">
            <v>60</v>
          </cell>
          <cell r="S279" t="str">
            <v>topl</v>
          </cell>
        </row>
        <row r="280">
          <cell r="A280" t="str">
            <v>BIRU</v>
          </cell>
          <cell r="B280" t="str">
            <v>Bombon Pendekar biru</v>
          </cell>
          <cell r="C280">
            <v>25</v>
          </cell>
          <cell r="D280" t="str">
            <v>pcs</v>
          </cell>
          <cell r="E280">
            <v>4300</v>
          </cell>
          <cell r="F280">
            <v>215000</v>
          </cell>
          <cell r="G280">
            <v>172</v>
          </cell>
          <cell r="Q280">
            <v>6000</v>
          </cell>
          <cell r="R280">
            <v>25</v>
          </cell>
          <cell r="S280" t="str">
            <v xml:space="preserve">pak </v>
          </cell>
          <cell r="AA280">
            <v>218000</v>
          </cell>
          <cell r="AB280" t="str">
            <v>dos</v>
          </cell>
        </row>
        <row r="281">
          <cell r="A281" t="str">
            <v>YOGIDOO</v>
          </cell>
          <cell r="B281" t="str">
            <v>Bombon YOGIE DOO LOLY Renteng</v>
          </cell>
          <cell r="C281">
            <v>30</v>
          </cell>
          <cell r="D281" t="str">
            <v>pak</v>
          </cell>
          <cell r="E281">
            <v>13166.666666666666</v>
          </cell>
          <cell r="F281">
            <v>79000</v>
          </cell>
          <cell r="G281">
            <v>438.88888888888886</v>
          </cell>
          <cell r="Q281">
            <v>14500</v>
          </cell>
          <cell r="R281">
            <v>30</v>
          </cell>
          <cell r="S281" t="str">
            <v>pak</v>
          </cell>
          <cell r="AA281">
            <v>82000</v>
          </cell>
          <cell r="AB281" t="str">
            <v>dos</v>
          </cell>
        </row>
        <row r="282">
          <cell r="A282" t="str">
            <v>PIMPOMR</v>
          </cell>
          <cell r="B282" t="str">
            <v>Bombon PIMPOM /Yogi LOLY Renteng</v>
          </cell>
          <cell r="C282">
            <v>30</v>
          </cell>
          <cell r="D282" t="str">
            <v>pak</v>
          </cell>
          <cell r="E282">
            <v>11625</v>
          </cell>
          <cell r="F282">
            <v>93000</v>
          </cell>
          <cell r="G282">
            <v>387.5</v>
          </cell>
          <cell r="Q282">
            <v>14500</v>
          </cell>
          <cell r="R282">
            <v>30</v>
          </cell>
          <cell r="S282" t="str">
            <v>pak</v>
          </cell>
          <cell r="AA282">
            <v>82000</v>
          </cell>
          <cell r="AB282" t="str">
            <v>dos</v>
          </cell>
        </row>
        <row r="283">
          <cell r="A283" t="str">
            <v>MONSTAR</v>
          </cell>
          <cell r="B283" t="str">
            <v>Bombon MONSTAR Renteng</v>
          </cell>
          <cell r="C283">
            <v>30</v>
          </cell>
          <cell r="D283" t="str">
            <v>pak</v>
          </cell>
          <cell r="E283">
            <v>12833.333333333334</v>
          </cell>
          <cell r="F283">
            <v>77000</v>
          </cell>
          <cell r="G283">
            <v>427.77777777777777</v>
          </cell>
          <cell r="Q283">
            <v>14500</v>
          </cell>
          <cell r="R283">
            <v>30</v>
          </cell>
          <cell r="S283" t="str">
            <v>pak</v>
          </cell>
          <cell r="AA283">
            <v>82000</v>
          </cell>
          <cell r="AB283" t="str">
            <v>dos</v>
          </cell>
        </row>
        <row r="284">
          <cell r="A284" t="str">
            <v>MONSTERX</v>
          </cell>
          <cell r="B284" t="str">
            <v>Bombon MONSTER X JUMBO</v>
          </cell>
          <cell r="C284">
            <v>40</v>
          </cell>
          <cell r="D284" t="str">
            <v>pak</v>
          </cell>
          <cell r="E284">
            <v>11750</v>
          </cell>
          <cell r="F284">
            <v>141000</v>
          </cell>
          <cell r="G284">
            <v>293.75</v>
          </cell>
          <cell r="Q284">
            <v>14500</v>
          </cell>
          <cell r="R284">
            <v>40</v>
          </cell>
          <cell r="S284" t="str">
            <v>pak</v>
          </cell>
          <cell r="AA284">
            <v>135000</v>
          </cell>
          <cell r="AB284" t="str">
            <v>dos</v>
          </cell>
        </row>
        <row r="285">
          <cell r="A285" t="str">
            <v>PIMPOMT</v>
          </cell>
          <cell r="B285" t="str">
            <v>Bombon PIMPOM LOLY Toples</v>
          </cell>
          <cell r="C285">
            <v>80</v>
          </cell>
          <cell r="D285" t="str">
            <v>topl</v>
          </cell>
          <cell r="E285">
            <v>22000</v>
          </cell>
          <cell r="F285">
            <v>132000</v>
          </cell>
          <cell r="G285">
            <v>275</v>
          </cell>
          <cell r="Q285">
            <v>24500</v>
          </cell>
          <cell r="R285">
            <v>80</v>
          </cell>
          <cell r="S285" t="str">
            <v>topl</v>
          </cell>
          <cell r="AA285">
            <v>135000</v>
          </cell>
          <cell r="AB285" t="str">
            <v>dos</v>
          </cell>
        </row>
        <row r="286">
          <cell r="A286" t="str">
            <v>ROCKSTAR</v>
          </cell>
          <cell r="B286" t="str">
            <v>Bombon PIMPOM ROCK STAR</v>
          </cell>
          <cell r="C286">
            <v>30</v>
          </cell>
          <cell r="D286" t="str">
            <v>pak</v>
          </cell>
          <cell r="E286">
            <v>11250</v>
          </cell>
          <cell r="F286">
            <v>112500</v>
          </cell>
          <cell r="G286">
            <v>375</v>
          </cell>
          <cell r="Q286">
            <v>13000</v>
          </cell>
          <cell r="R286">
            <v>30</v>
          </cell>
          <cell r="S286" t="str">
            <v>pak</v>
          </cell>
        </row>
        <row r="287">
          <cell r="A287" t="str">
            <v>PINDY</v>
          </cell>
          <cell r="B287" t="str">
            <v>Bombon Pindy Mint</v>
          </cell>
          <cell r="C287">
            <v>50</v>
          </cell>
          <cell r="D287" t="str">
            <v>pcs</v>
          </cell>
          <cell r="E287">
            <v>3450</v>
          </cell>
          <cell r="F287">
            <v>69000</v>
          </cell>
          <cell r="G287">
            <v>69</v>
          </cell>
          <cell r="Q287">
            <v>4000</v>
          </cell>
          <cell r="R287">
            <v>50</v>
          </cell>
          <cell r="S287" t="str">
            <v>pak</v>
          </cell>
        </row>
        <row r="288">
          <cell r="A288" t="str">
            <v>PLAYGUM</v>
          </cell>
          <cell r="B288" t="str">
            <v>Bombon PLAYGUM ISI 200 pc</v>
          </cell>
          <cell r="C288">
            <v>200</v>
          </cell>
          <cell r="D288" t="str">
            <v>pak</v>
          </cell>
          <cell r="E288">
            <v>10093.75</v>
          </cell>
          <cell r="F288">
            <v>161500</v>
          </cell>
          <cell r="G288">
            <v>50.46875</v>
          </cell>
          <cell r="Q288">
            <v>12500</v>
          </cell>
          <cell r="R288">
            <v>200</v>
          </cell>
          <cell r="S288" t="str">
            <v>pak</v>
          </cell>
        </row>
        <row r="289">
          <cell r="A289" t="str">
            <v>POGI</v>
          </cell>
          <cell r="B289" t="str">
            <v>Bombon Pogi-Pogi</v>
          </cell>
          <cell r="C289">
            <v>50</v>
          </cell>
          <cell r="D289" t="str">
            <v>pcs</v>
          </cell>
          <cell r="E289">
            <v>12750</v>
          </cell>
          <cell r="F289">
            <v>102000</v>
          </cell>
          <cell r="G289">
            <v>255</v>
          </cell>
          <cell r="Q289">
            <v>14500</v>
          </cell>
          <cell r="R289">
            <v>50</v>
          </cell>
          <cell r="S289" t="str">
            <v>pak</v>
          </cell>
        </row>
        <row r="290">
          <cell r="A290" t="str">
            <v>POLOH</v>
          </cell>
          <cell r="B290" t="str">
            <v>Bombon Polo Hanger</v>
          </cell>
          <cell r="C290">
            <v>12</v>
          </cell>
          <cell r="D290" t="str">
            <v>pcs</v>
          </cell>
          <cell r="E290">
            <v>11520</v>
          </cell>
          <cell r="F290">
            <v>276480</v>
          </cell>
          <cell r="G290">
            <v>960</v>
          </cell>
          <cell r="H290">
            <v>1500</v>
          </cell>
          <cell r="I290" t="str">
            <v>pc</v>
          </cell>
          <cell r="J290">
            <v>1500</v>
          </cell>
          <cell r="K290" t="str">
            <v>pc</v>
          </cell>
          <cell r="L290">
            <v>1500</v>
          </cell>
          <cell r="M290" t="str">
            <v>pc</v>
          </cell>
          <cell r="N290">
            <v>12000</v>
          </cell>
          <cell r="O290">
            <v>12</v>
          </cell>
          <cell r="P290" t="str">
            <v>rtg</v>
          </cell>
        </row>
        <row r="291">
          <cell r="A291" t="str">
            <v>POPSTAR</v>
          </cell>
          <cell r="B291" t="str">
            <v>Bombon POPSTAR</v>
          </cell>
          <cell r="C291">
            <v>100</v>
          </cell>
          <cell r="D291" t="str">
            <v>pcs</v>
          </cell>
          <cell r="E291">
            <v>23000</v>
          </cell>
          <cell r="F291">
            <v>138000</v>
          </cell>
          <cell r="G291">
            <v>230</v>
          </cell>
          <cell r="Q291">
            <v>25500</v>
          </cell>
          <cell r="R291">
            <v>100</v>
          </cell>
          <cell r="S291" t="str">
            <v>tpl</v>
          </cell>
        </row>
        <row r="292">
          <cell r="A292" t="str">
            <v>PGUM</v>
          </cell>
          <cell r="B292" t="str">
            <v>Bombon Pusan Gum</v>
          </cell>
          <cell r="C292">
            <v>20</v>
          </cell>
          <cell r="D292" t="str">
            <v>pcs</v>
          </cell>
          <cell r="E292">
            <v>12500</v>
          </cell>
          <cell r="F292">
            <v>150000</v>
          </cell>
          <cell r="G292">
            <v>625</v>
          </cell>
          <cell r="Q292">
            <v>14000</v>
          </cell>
          <cell r="R292">
            <v>20</v>
          </cell>
          <cell r="S292" t="str">
            <v>pak</v>
          </cell>
        </row>
        <row r="293">
          <cell r="A293" t="str">
            <v>FRESHMINT</v>
          </cell>
          <cell r="B293" t="str">
            <v>Bombon FRESHMINT</v>
          </cell>
          <cell r="C293">
            <v>40</v>
          </cell>
          <cell r="D293" t="str">
            <v>pcs</v>
          </cell>
          <cell r="E293">
            <v>25916.666666666668</v>
          </cell>
          <cell r="F293">
            <v>155500</v>
          </cell>
          <cell r="G293">
            <v>647.91666666666674</v>
          </cell>
          <cell r="Q293">
            <v>29000</v>
          </cell>
          <cell r="R293">
            <v>40</v>
          </cell>
          <cell r="S293" t="str">
            <v>pcs</v>
          </cell>
        </row>
        <row r="294">
          <cell r="A294" t="str">
            <v>SRAINBOW</v>
          </cell>
          <cell r="B294" t="str">
            <v>Bombon RAINBOW</v>
          </cell>
          <cell r="C294">
            <v>10</v>
          </cell>
          <cell r="D294" t="str">
            <v>pcs</v>
          </cell>
          <cell r="E294">
            <v>4033.3333333333335</v>
          </cell>
          <cell r="F294">
            <v>12100</v>
          </cell>
          <cell r="G294">
            <v>403.33333333333337</v>
          </cell>
          <cell r="Q294">
            <v>14000</v>
          </cell>
          <cell r="R294">
            <v>10</v>
          </cell>
          <cell r="S294" t="str">
            <v>pak</v>
          </cell>
        </row>
        <row r="295">
          <cell r="A295" t="str">
            <v>CRAYON</v>
          </cell>
          <cell r="B295" t="str">
            <v>Bombon Rainbow Crayon</v>
          </cell>
          <cell r="C295">
            <v>20</v>
          </cell>
          <cell r="D295" t="str">
            <v>pcs</v>
          </cell>
          <cell r="E295">
            <v>7750</v>
          </cell>
          <cell r="F295">
            <v>155000</v>
          </cell>
          <cell r="G295">
            <v>387.5</v>
          </cell>
          <cell r="Q295">
            <v>8500</v>
          </cell>
          <cell r="R295">
            <v>20</v>
          </cell>
          <cell r="S295" t="str">
            <v>pak</v>
          </cell>
          <cell r="AA295">
            <v>157000</v>
          </cell>
          <cell r="AB295" t="str">
            <v>dos</v>
          </cell>
        </row>
        <row r="296">
          <cell r="A296" t="str">
            <v>RELAXA</v>
          </cell>
          <cell r="B296" t="str">
            <v>Bombon Relaxa bks</v>
          </cell>
          <cell r="C296">
            <v>50</v>
          </cell>
          <cell r="D296" t="str">
            <v>pcs</v>
          </cell>
          <cell r="E296">
            <v>4583.333333333333</v>
          </cell>
          <cell r="F296">
            <v>110000</v>
          </cell>
          <cell r="G296">
            <v>91.666666666666657</v>
          </cell>
          <cell r="Q296">
            <v>6000</v>
          </cell>
          <cell r="R296">
            <v>50</v>
          </cell>
          <cell r="S296" t="str">
            <v>pak</v>
          </cell>
          <cell r="AA296">
            <v>123000</v>
          </cell>
          <cell r="AB296" t="str">
            <v>dos</v>
          </cell>
        </row>
        <row r="297">
          <cell r="A297" t="str">
            <v>SUGUS</v>
          </cell>
          <cell r="B297" t="str">
            <v>Bombon SUGUS bks</v>
          </cell>
          <cell r="C297">
            <v>50</v>
          </cell>
          <cell r="D297" t="str">
            <v>pcs</v>
          </cell>
          <cell r="E297">
            <v>5333.333333333333</v>
          </cell>
          <cell r="F297">
            <v>160000</v>
          </cell>
          <cell r="G297">
            <v>106.66666666666666</v>
          </cell>
          <cell r="Q297">
            <v>6500</v>
          </cell>
          <cell r="R297">
            <v>50</v>
          </cell>
          <cell r="S297" t="str">
            <v>pak</v>
          </cell>
        </row>
        <row r="298">
          <cell r="A298" t="str">
            <v>SHUGA</v>
          </cell>
          <cell r="B298" t="str">
            <v>Bombon Shuga Box 200</v>
          </cell>
          <cell r="C298">
            <v>200</v>
          </cell>
          <cell r="D298" t="str">
            <v>topls</v>
          </cell>
          <cell r="E298">
            <v>17500</v>
          </cell>
          <cell r="F298">
            <v>105000</v>
          </cell>
          <cell r="G298">
            <v>87.5</v>
          </cell>
          <cell r="Q298">
            <v>19500</v>
          </cell>
          <cell r="R298">
            <v>200</v>
          </cell>
          <cell r="S298" t="str">
            <v>topls</v>
          </cell>
          <cell r="AA298">
            <v>108000</v>
          </cell>
          <cell r="AB298" t="str">
            <v>dos</v>
          </cell>
        </row>
        <row r="299">
          <cell r="A299" t="str">
            <v>SMILINGE</v>
          </cell>
          <cell r="B299" t="str">
            <v>Bombon SMILING EYEGLAS KOTAK</v>
          </cell>
          <cell r="C299">
            <v>40</v>
          </cell>
          <cell r="D299" t="str">
            <v>pcs</v>
          </cell>
          <cell r="E299">
            <v>14250</v>
          </cell>
          <cell r="F299">
            <v>171000</v>
          </cell>
          <cell r="G299">
            <v>356.25</v>
          </cell>
          <cell r="Q299">
            <v>16000</v>
          </cell>
          <cell r="R299">
            <v>40</v>
          </cell>
          <cell r="S299" t="str">
            <v>pak</v>
          </cell>
        </row>
        <row r="300">
          <cell r="A300" t="str">
            <v>SMILINGT</v>
          </cell>
          <cell r="B300" t="str">
            <v>Bombon SMILING TOPLES</v>
          </cell>
          <cell r="C300">
            <v>40</v>
          </cell>
          <cell r="D300" t="str">
            <v>pcs</v>
          </cell>
          <cell r="E300">
            <v>15917.306666666665</v>
          </cell>
          <cell r="F300">
            <v>95503.84</v>
          </cell>
          <cell r="G300">
            <v>397.93266666666665</v>
          </cell>
          <cell r="Q300">
            <v>18500</v>
          </cell>
          <cell r="R300">
            <v>40</v>
          </cell>
          <cell r="S300" t="str">
            <v>pak</v>
          </cell>
          <cell r="AA300">
            <v>99000</v>
          </cell>
          <cell r="AB300" t="str">
            <v>dos</v>
          </cell>
        </row>
        <row r="301">
          <cell r="A301" t="str">
            <v>TUBE</v>
          </cell>
          <cell r="B301" t="str">
            <v>Bombon Smilling TUBE</v>
          </cell>
          <cell r="C301">
            <v>20</v>
          </cell>
          <cell r="D301" t="str">
            <v>pcs</v>
          </cell>
          <cell r="E301">
            <v>17333.333333333332</v>
          </cell>
          <cell r="F301">
            <v>208000</v>
          </cell>
          <cell r="G301">
            <v>866.66666666666663</v>
          </cell>
          <cell r="H301">
            <v>1000</v>
          </cell>
          <cell r="I301" t="str">
            <v>pc</v>
          </cell>
          <cell r="J301">
            <v>1000</v>
          </cell>
          <cell r="K301" t="str">
            <v>pc</v>
          </cell>
          <cell r="L301">
            <v>1000</v>
          </cell>
          <cell r="M301" t="str">
            <v>pc</v>
          </cell>
          <cell r="Q301">
            <v>19000</v>
          </cell>
          <cell r="R301">
            <v>20</v>
          </cell>
          <cell r="S301" t="str">
            <v>pak</v>
          </cell>
        </row>
        <row r="302">
          <cell r="A302" t="str">
            <v>bSTAR</v>
          </cell>
          <cell r="B302" t="str">
            <v>Bombon STAR</v>
          </cell>
          <cell r="C302">
            <v>1</v>
          </cell>
          <cell r="D302" t="str">
            <v>pcs</v>
          </cell>
          <cell r="E302">
            <v>72000</v>
          </cell>
          <cell r="G302">
            <v>72000</v>
          </cell>
          <cell r="H302">
            <v>8000</v>
          </cell>
          <cell r="I302" t="str">
            <v>pc</v>
          </cell>
          <cell r="J302">
            <v>8000</v>
          </cell>
          <cell r="K302" t="str">
            <v>pc</v>
          </cell>
          <cell r="L302">
            <v>8000</v>
          </cell>
          <cell r="M302" t="str">
            <v>pc</v>
          </cell>
        </row>
        <row r="303">
          <cell r="A303" t="str">
            <v>STATION</v>
          </cell>
          <cell r="B303" t="str">
            <v>Bombon Station Rasa Campur</v>
          </cell>
          <cell r="C303">
            <v>40</v>
          </cell>
          <cell r="D303" t="str">
            <v>pcs</v>
          </cell>
          <cell r="E303">
            <v>3500</v>
          </cell>
          <cell r="F303">
            <v>70000</v>
          </cell>
          <cell r="G303">
            <v>87.5</v>
          </cell>
          <cell r="Q303">
            <v>4500</v>
          </cell>
          <cell r="R303">
            <v>40</v>
          </cell>
          <cell r="S303" t="str">
            <v>pak</v>
          </cell>
          <cell r="AA303">
            <v>73000</v>
          </cell>
          <cell r="AB303" t="str">
            <v>dos</v>
          </cell>
        </row>
        <row r="304">
          <cell r="A304" t="str">
            <v>LIPSTIK</v>
          </cell>
          <cell r="B304" t="str">
            <v>Bombon STICK CANDY</v>
          </cell>
          <cell r="C304">
            <v>30</v>
          </cell>
          <cell r="D304" t="str">
            <v>pcs</v>
          </cell>
          <cell r="E304">
            <v>25625</v>
          </cell>
          <cell r="F304">
            <v>615000</v>
          </cell>
          <cell r="G304">
            <v>854.16666666666663</v>
          </cell>
          <cell r="Q304">
            <v>27000</v>
          </cell>
          <cell r="R304">
            <v>30</v>
          </cell>
          <cell r="S304" t="str">
            <v>pak</v>
          </cell>
          <cell r="AA304">
            <v>618000</v>
          </cell>
          <cell r="AB304" t="str">
            <v>dos</v>
          </cell>
        </row>
        <row r="305">
          <cell r="A305" t="str">
            <v>BOY</v>
          </cell>
          <cell r="B305" t="str">
            <v>Bombon BUBLE BOY</v>
          </cell>
          <cell r="C305">
            <v>10</v>
          </cell>
          <cell r="D305" t="str">
            <v>rtg</v>
          </cell>
          <cell r="E305">
            <v>48000</v>
          </cell>
          <cell r="G305">
            <v>4800</v>
          </cell>
          <cell r="N305">
            <v>5000</v>
          </cell>
          <cell r="P305" t="str">
            <v>rtg</v>
          </cell>
        </row>
        <row r="306">
          <cell r="A306" t="str">
            <v>SWIT</v>
          </cell>
          <cell r="B306" t="str">
            <v>Bombon SWIT CANDY</v>
          </cell>
          <cell r="C306">
            <v>40</v>
          </cell>
          <cell r="D306" t="str">
            <v>pcs</v>
          </cell>
          <cell r="E306">
            <v>11000</v>
          </cell>
          <cell r="F306">
            <v>132000</v>
          </cell>
          <cell r="G306">
            <v>275</v>
          </cell>
          <cell r="Q306">
            <v>12500</v>
          </cell>
          <cell r="R306">
            <v>40</v>
          </cell>
          <cell r="S306" t="str">
            <v>topls</v>
          </cell>
          <cell r="AA306">
            <v>135000</v>
          </cell>
          <cell r="AB306" t="str">
            <v>dos</v>
          </cell>
        </row>
        <row r="307">
          <cell r="A307" t="str">
            <v>CHOCOP</v>
          </cell>
          <cell r="B307" t="str">
            <v>Bombon CHOCO Payung Pedang isi 20</v>
          </cell>
          <cell r="C307">
            <v>20</v>
          </cell>
          <cell r="D307" t="str">
            <v>pcs</v>
          </cell>
          <cell r="E307">
            <v>8600</v>
          </cell>
          <cell r="F307">
            <v>103200</v>
          </cell>
          <cell r="G307">
            <v>430</v>
          </cell>
          <cell r="Q307">
            <v>9500</v>
          </cell>
          <cell r="R307">
            <v>20</v>
          </cell>
          <cell r="S307" t="str">
            <v>pak</v>
          </cell>
        </row>
        <row r="308">
          <cell r="A308" t="str">
            <v>PASTAG</v>
          </cell>
          <cell r="B308" t="str">
            <v>INDRA Pasta Gelas</v>
          </cell>
          <cell r="C308">
            <v>40</v>
          </cell>
          <cell r="D308" t="str">
            <v>pcs</v>
          </cell>
          <cell r="E308">
            <v>13750</v>
          </cell>
          <cell r="F308">
            <v>110000</v>
          </cell>
          <cell r="G308">
            <v>343.75</v>
          </cell>
          <cell r="Q308">
            <v>16000</v>
          </cell>
          <cell r="R308">
            <v>40</v>
          </cell>
          <cell r="S308" t="str">
            <v>pak</v>
          </cell>
          <cell r="AA308">
            <v>120000</v>
          </cell>
          <cell r="AB308" t="str">
            <v>dos</v>
          </cell>
        </row>
        <row r="309">
          <cell r="A309" t="str">
            <v>TRUCK</v>
          </cell>
          <cell r="B309" t="str">
            <v>PASTA MOBIL TRUCK</v>
          </cell>
          <cell r="C309">
            <v>60</v>
          </cell>
          <cell r="D309" t="str">
            <v>pcs</v>
          </cell>
          <cell r="E309">
            <v>24083.333333333332</v>
          </cell>
          <cell r="F309">
            <v>144500</v>
          </cell>
          <cell r="G309">
            <v>401.38888888888886</v>
          </cell>
          <cell r="Q309">
            <v>27000</v>
          </cell>
          <cell r="R309">
            <v>60</v>
          </cell>
          <cell r="S309" t="str">
            <v>pak</v>
          </cell>
        </row>
        <row r="310">
          <cell r="A310" t="str">
            <v>RUGBY</v>
          </cell>
          <cell r="B310" t="str">
            <v>Bombon CHOC RUGBY ISI 60</v>
          </cell>
          <cell r="C310">
            <v>60</v>
          </cell>
          <cell r="D310" t="str">
            <v>pcs</v>
          </cell>
          <cell r="E310">
            <v>25000</v>
          </cell>
          <cell r="F310">
            <v>150000</v>
          </cell>
          <cell r="G310">
            <v>416.66666666666669</v>
          </cell>
          <cell r="Q310">
            <v>27500</v>
          </cell>
          <cell r="R310">
            <v>60</v>
          </cell>
          <cell r="S310" t="str">
            <v>topl</v>
          </cell>
          <cell r="AA310">
            <v>154000</v>
          </cell>
          <cell r="AB310" t="str">
            <v>dos</v>
          </cell>
        </row>
        <row r="311">
          <cell r="A311" t="str">
            <v>KUMKUMbt</v>
          </cell>
          <cell r="B311" t="str">
            <v>Bombon KUM-KUM Besar Pasta Stik isi 50</v>
          </cell>
          <cell r="C311">
            <v>50</v>
          </cell>
          <cell r="D311" t="str">
            <v>pcs</v>
          </cell>
          <cell r="E311">
            <v>17916.666666666668</v>
          </cell>
          <cell r="F311">
            <v>107500</v>
          </cell>
          <cell r="G311">
            <v>358.33333333333337</v>
          </cell>
          <cell r="H311">
            <v>500</v>
          </cell>
          <cell r="I311" t="str">
            <v>PC</v>
          </cell>
          <cell r="J311">
            <v>500</v>
          </cell>
          <cell r="K311" t="str">
            <v>PC</v>
          </cell>
          <cell r="L311">
            <v>500</v>
          </cell>
          <cell r="M311" t="str">
            <v>PC</v>
          </cell>
          <cell r="Q311">
            <v>20000</v>
          </cell>
          <cell r="R311">
            <v>50</v>
          </cell>
          <cell r="S311" t="str">
            <v>btl</v>
          </cell>
        </row>
        <row r="312">
          <cell r="A312" t="str">
            <v>KUMKUMK</v>
          </cell>
          <cell r="B312" t="str">
            <v>Bombon KUM-KUM Kecil Pasta Stik isi 30</v>
          </cell>
          <cell r="C312">
            <v>30</v>
          </cell>
          <cell r="D312" t="str">
            <v>pcs</v>
          </cell>
          <cell r="E312">
            <v>11666.666666666666</v>
          </cell>
          <cell r="F312">
            <v>70000</v>
          </cell>
          <cell r="G312">
            <v>388.88888888888886</v>
          </cell>
          <cell r="H312">
            <v>500</v>
          </cell>
          <cell r="I312" t="str">
            <v>PC</v>
          </cell>
          <cell r="J312">
            <v>500</v>
          </cell>
          <cell r="K312" t="str">
            <v>PC</v>
          </cell>
          <cell r="L312">
            <v>500</v>
          </cell>
          <cell r="M312" t="str">
            <v>PC</v>
          </cell>
          <cell r="Q312">
            <v>13000</v>
          </cell>
          <cell r="R312">
            <v>30</v>
          </cell>
          <cell r="S312" t="str">
            <v>btl</v>
          </cell>
        </row>
        <row r="313">
          <cell r="A313" t="str">
            <v>KUMKUMM</v>
          </cell>
          <cell r="B313" t="str">
            <v>Bombon KUM-KUM Kecil Pasta Stik isi 30</v>
          </cell>
          <cell r="C313">
            <v>30</v>
          </cell>
          <cell r="D313" t="str">
            <v>pcs</v>
          </cell>
          <cell r="E313">
            <v>10916.666666666666</v>
          </cell>
          <cell r="F313">
            <v>65500</v>
          </cell>
          <cell r="G313">
            <v>363.88888888888886</v>
          </cell>
          <cell r="H313">
            <v>500</v>
          </cell>
          <cell r="I313" t="str">
            <v>PC</v>
          </cell>
          <cell r="J313">
            <v>500</v>
          </cell>
          <cell r="K313" t="str">
            <v>PC</v>
          </cell>
          <cell r="L313">
            <v>500</v>
          </cell>
          <cell r="M313" t="str">
            <v>PC</v>
          </cell>
          <cell r="Q313">
            <v>13500</v>
          </cell>
          <cell r="R313">
            <v>30</v>
          </cell>
          <cell r="S313" t="str">
            <v>btl</v>
          </cell>
        </row>
        <row r="314">
          <cell r="A314" t="str">
            <v>PANDA</v>
          </cell>
          <cell r="B314" t="str">
            <v>KUM-KUM Kecil Panda Pasta Stik isi 30</v>
          </cell>
          <cell r="C314">
            <v>30</v>
          </cell>
          <cell r="D314" t="str">
            <v>pcs</v>
          </cell>
          <cell r="E314">
            <v>10666.666666666666</v>
          </cell>
          <cell r="F314">
            <v>64000</v>
          </cell>
          <cell r="G314">
            <v>355.55555555555554</v>
          </cell>
          <cell r="H314">
            <v>500</v>
          </cell>
          <cell r="I314" t="str">
            <v>PC</v>
          </cell>
          <cell r="J314">
            <v>500</v>
          </cell>
          <cell r="K314" t="str">
            <v>PC</v>
          </cell>
          <cell r="L314">
            <v>500</v>
          </cell>
          <cell r="M314" t="str">
            <v>PC</v>
          </cell>
          <cell r="Q314">
            <v>13000</v>
          </cell>
          <cell r="R314">
            <v>30</v>
          </cell>
          <cell r="S314" t="str">
            <v>btl</v>
          </cell>
        </row>
        <row r="315">
          <cell r="A315" t="str">
            <v>TABELO</v>
          </cell>
          <cell r="B315" t="str">
            <v>Bombon Tabelo Pasta Stik isi 50</v>
          </cell>
          <cell r="C315">
            <v>50</v>
          </cell>
          <cell r="D315" t="str">
            <v>pcs</v>
          </cell>
          <cell r="E315">
            <v>17750</v>
          </cell>
          <cell r="F315">
            <v>177500</v>
          </cell>
          <cell r="G315">
            <v>355</v>
          </cell>
          <cell r="Q315">
            <v>20000</v>
          </cell>
          <cell r="R315">
            <v>50</v>
          </cell>
          <cell r="S315" t="str">
            <v>tpl</v>
          </cell>
          <cell r="AA315">
            <v>212000</v>
          </cell>
          <cell r="AB315" t="str">
            <v>dos</v>
          </cell>
        </row>
        <row r="316">
          <cell r="A316" t="str">
            <v>TAMARIN</v>
          </cell>
          <cell r="B316" t="str">
            <v>Bombon Tamarin bks</v>
          </cell>
          <cell r="C316">
            <v>50</v>
          </cell>
          <cell r="D316" t="str">
            <v>topl</v>
          </cell>
          <cell r="E316">
            <v>4750</v>
          </cell>
          <cell r="F316">
            <v>95000</v>
          </cell>
          <cell r="G316">
            <v>95</v>
          </cell>
          <cell r="Q316">
            <v>6000</v>
          </cell>
          <cell r="R316">
            <v>50</v>
          </cell>
          <cell r="S316" t="str">
            <v>pak</v>
          </cell>
          <cell r="AA316">
            <v>94000</v>
          </cell>
          <cell r="AB316" t="str">
            <v>dos</v>
          </cell>
        </row>
        <row r="317">
          <cell r="A317" t="str">
            <v>TATO</v>
          </cell>
          <cell r="B317" t="str">
            <v xml:space="preserve">Bombon Tato RENTENG </v>
          </cell>
          <cell r="C317">
            <v>40</v>
          </cell>
          <cell r="D317" t="str">
            <v>pcs</v>
          </cell>
          <cell r="E317">
            <v>19250</v>
          </cell>
          <cell r="F317">
            <v>385000</v>
          </cell>
          <cell r="G317">
            <v>481.25</v>
          </cell>
          <cell r="Q317">
            <v>21500</v>
          </cell>
          <cell r="R317">
            <v>40</v>
          </cell>
          <cell r="S317" t="str">
            <v>pak</v>
          </cell>
          <cell r="AA317">
            <v>390000</v>
          </cell>
          <cell r="AB317" t="str">
            <v>dos</v>
          </cell>
        </row>
        <row r="318">
          <cell r="A318" t="str">
            <v>BIGTATO</v>
          </cell>
          <cell r="B318" t="str">
            <v>Bombon BIG TATO</v>
          </cell>
          <cell r="C318">
            <v>20</v>
          </cell>
          <cell r="D318" t="str">
            <v>pcs</v>
          </cell>
          <cell r="E318">
            <v>8050</v>
          </cell>
          <cell r="F318">
            <v>161000</v>
          </cell>
          <cell r="G318">
            <v>402.5</v>
          </cell>
          <cell r="Q318">
            <v>9500</v>
          </cell>
          <cell r="R318">
            <v>20</v>
          </cell>
          <cell r="S318" t="str">
            <v>pak</v>
          </cell>
          <cell r="AA318">
            <v>164000</v>
          </cell>
          <cell r="AB318" t="str">
            <v>dos</v>
          </cell>
        </row>
        <row r="319">
          <cell r="A319" t="str">
            <v>ABZ</v>
          </cell>
          <cell r="B319" t="str">
            <v>Bombon ABZ CHOCO</v>
          </cell>
          <cell r="C319">
            <v>30</v>
          </cell>
          <cell r="D319" t="str">
            <v>pcs</v>
          </cell>
          <cell r="E319">
            <v>12000</v>
          </cell>
          <cell r="F319">
            <v>96000</v>
          </cell>
          <cell r="G319">
            <v>400</v>
          </cell>
          <cell r="Q319">
            <v>13500</v>
          </cell>
          <cell r="R319">
            <v>30</v>
          </cell>
          <cell r="S319" t="str">
            <v>pak</v>
          </cell>
          <cell r="AA319">
            <v>99000</v>
          </cell>
          <cell r="AB319" t="str">
            <v>dos</v>
          </cell>
        </row>
        <row r="320">
          <cell r="A320" t="str">
            <v>TEJE</v>
          </cell>
          <cell r="B320" t="str">
            <v>Bombon Teje Love Glass/Reben</v>
          </cell>
          <cell r="C320">
            <v>40</v>
          </cell>
          <cell r="D320" t="str">
            <v>pcs</v>
          </cell>
          <cell r="E320">
            <v>15100</v>
          </cell>
          <cell r="F320">
            <v>302000</v>
          </cell>
          <cell r="G320">
            <v>377.5</v>
          </cell>
          <cell r="Q320">
            <v>16500</v>
          </cell>
          <cell r="R320">
            <v>40</v>
          </cell>
          <cell r="S320" t="str">
            <v>pak</v>
          </cell>
        </row>
        <row r="321">
          <cell r="A321" t="str">
            <v>BATS</v>
          </cell>
          <cell r="B321" t="str">
            <v>Bombon BAT'S GUN SMILING ISI 20</v>
          </cell>
          <cell r="C321">
            <v>20</v>
          </cell>
          <cell r="D321" t="str">
            <v>pcs</v>
          </cell>
          <cell r="E321">
            <v>15625</v>
          </cell>
          <cell r="F321">
            <v>125000</v>
          </cell>
          <cell r="G321">
            <v>781.25</v>
          </cell>
          <cell r="Q321">
            <v>17500</v>
          </cell>
          <cell r="R321">
            <v>20</v>
          </cell>
          <cell r="S321" t="str">
            <v>pak</v>
          </cell>
        </row>
        <row r="322">
          <cell r="A322" t="str">
            <v>LOVEYOU</v>
          </cell>
          <cell r="B322" t="str">
            <v>Bombon I LOVE YOU</v>
          </cell>
          <cell r="C322">
            <v>40</v>
          </cell>
          <cell r="D322" t="str">
            <v>pcs</v>
          </cell>
          <cell r="E322">
            <v>13916.666666666666</v>
          </cell>
          <cell r="F322">
            <v>167000</v>
          </cell>
          <cell r="G322">
            <v>347.91666666666663</v>
          </cell>
          <cell r="Q322">
            <v>16000</v>
          </cell>
          <cell r="R322">
            <v>40</v>
          </cell>
          <cell r="S322" t="str">
            <v>pak</v>
          </cell>
          <cell r="AA322">
            <v>285000</v>
          </cell>
          <cell r="AB322" t="str">
            <v>dos</v>
          </cell>
        </row>
        <row r="323">
          <cell r="A323" t="str">
            <v>CAR</v>
          </cell>
          <cell r="B323" t="str">
            <v>Bombon POP CHOCK CAR</v>
          </cell>
          <cell r="C323">
            <v>30</v>
          </cell>
          <cell r="D323" t="str">
            <v>pcs</v>
          </cell>
          <cell r="E323">
            <v>20125</v>
          </cell>
          <cell r="F323">
            <v>161000</v>
          </cell>
          <cell r="G323">
            <v>670.83333333333337</v>
          </cell>
          <cell r="Q323">
            <v>22500</v>
          </cell>
          <cell r="R323">
            <v>30</v>
          </cell>
          <cell r="S323" t="str">
            <v>pak</v>
          </cell>
        </row>
        <row r="324">
          <cell r="A324" t="str">
            <v>TELOR</v>
          </cell>
          <cell r="B324" t="str">
            <v>Bombon TELOR</v>
          </cell>
          <cell r="C324">
            <v>20</v>
          </cell>
          <cell r="D324" t="str">
            <v>pcs</v>
          </cell>
          <cell r="E324">
            <v>9527.7777777777774</v>
          </cell>
          <cell r="F324">
            <v>343000</v>
          </cell>
          <cell r="G324">
            <v>476.38888888888886</v>
          </cell>
          <cell r="Q324">
            <v>11000</v>
          </cell>
          <cell r="R324">
            <v>20</v>
          </cell>
          <cell r="S324" t="str">
            <v>pak</v>
          </cell>
        </row>
        <row r="325">
          <cell r="A325" t="str">
            <v>TINGB</v>
          </cell>
          <cell r="B325" t="str">
            <v>Bombon Ting-ting Bungkus</v>
          </cell>
          <cell r="C325">
            <v>50</v>
          </cell>
          <cell r="D325" t="str">
            <v>pak</v>
          </cell>
          <cell r="E325">
            <v>5866.63</v>
          </cell>
          <cell r="F325">
            <v>117332.6</v>
          </cell>
          <cell r="G325">
            <v>117.3326</v>
          </cell>
          <cell r="Q325">
            <v>7000</v>
          </cell>
          <cell r="R325">
            <v>50</v>
          </cell>
          <cell r="S325" t="str">
            <v>pak</v>
          </cell>
        </row>
        <row r="326">
          <cell r="A326" t="str">
            <v>TINGT</v>
          </cell>
          <cell r="B326" t="str">
            <v>Bombon Ting-ting toples makan</v>
          </cell>
          <cell r="C326">
            <v>25</v>
          </cell>
          <cell r="D326" t="str">
            <v>pak</v>
          </cell>
          <cell r="E326">
            <v>19100</v>
          </cell>
          <cell r="F326">
            <v>191000</v>
          </cell>
          <cell r="G326">
            <v>764</v>
          </cell>
          <cell r="Q326">
            <v>21000</v>
          </cell>
          <cell r="R326">
            <v>25</v>
          </cell>
          <cell r="S326" t="str">
            <v>pak</v>
          </cell>
        </row>
        <row r="327">
          <cell r="A327" t="str">
            <v>VEKISS</v>
          </cell>
          <cell r="B327" t="str">
            <v>Bombon Vikiss</v>
          </cell>
          <cell r="C327">
            <v>20</v>
          </cell>
          <cell r="D327" t="str">
            <v>pcs</v>
          </cell>
          <cell r="E327">
            <v>8416.6666666666661</v>
          </cell>
          <cell r="F327">
            <v>303000</v>
          </cell>
          <cell r="G327">
            <v>420.83333333333331</v>
          </cell>
          <cell r="Q327">
            <v>9000</v>
          </cell>
          <cell r="R327">
            <v>20</v>
          </cell>
          <cell r="S327" t="str">
            <v>pak</v>
          </cell>
        </row>
        <row r="328">
          <cell r="A328" t="str">
            <v>YOGURT</v>
          </cell>
          <cell r="B328" t="str">
            <v>Bombon Yogurt</v>
          </cell>
          <cell r="C328">
            <v>24</v>
          </cell>
          <cell r="D328" t="str">
            <v>pcs</v>
          </cell>
          <cell r="E328">
            <v>7500</v>
          </cell>
          <cell r="F328">
            <v>90000</v>
          </cell>
          <cell r="G328">
            <v>312.5</v>
          </cell>
          <cell r="Q328">
            <v>9500</v>
          </cell>
          <cell r="R328">
            <v>24</v>
          </cell>
          <cell r="S328" t="str">
            <v>pak</v>
          </cell>
          <cell r="AA328">
            <v>92000</v>
          </cell>
          <cell r="AB328" t="str">
            <v>dos</v>
          </cell>
        </row>
        <row r="329">
          <cell r="A329" t="str">
            <v>YUPIP</v>
          </cell>
          <cell r="B329" t="str">
            <v>Bombon Yupi PAK</v>
          </cell>
          <cell r="C329">
            <v>24</v>
          </cell>
          <cell r="D329" t="str">
            <v>pcs</v>
          </cell>
          <cell r="E329">
            <v>10666.666666666666</v>
          </cell>
          <cell r="F329">
            <v>128000</v>
          </cell>
          <cell r="G329">
            <v>444.4444444444444</v>
          </cell>
          <cell r="Q329">
            <v>12500</v>
          </cell>
          <cell r="R329">
            <v>24</v>
          </cell>
          <cell r="S329" t="str">
            <v>pak</v>
          </cell>
        </row>
        <row r="330">
          <cell r="A330" t="str">
            <v>YUPIB</v>
          </cell>
          <cell r="B330" t="str">
            <v>Bombon Yupi Bungkus</v>
          </cell>
          <cell r="C330">
            <v>52</v>
          </cell>
          <cell r="D330" t="str">
            <v>pcs</v>
          </cell>
          <cell r="E330">
            <v>5916.666666666667</v>
          </cell>
          <cell r="F330">
            <v>142000</v>
          </cell>
          <cell r="G330">
            <v>113.78205128205128</v>
          </cell>
          <cell r="Q330">
            <v>7000</v>
          </cell>
          <cell r="R330">
            <v>52</v>
          </cell>
          <cell r="S330" t="str">
            <v>pak</v>
          </cell>
        </row>
        <row r="331">
          <cell r="A331" t="str">
            <v>BCABER</v>
          </cell>
          <cell r="B331" t="str">
            <v>BONCABE Level 10 renteng</v>
          </cell>
          <cell r="C331">
            <v>12</v>
          </cell>
          <cell r="D331" t="str">
            <v>rtg</v>
          </cell>
          <cell r="E331">
            <v>10000</v>
          </cell>
          <cell r="F331">
            <v>20000</v>
          </cell>
          <cell r="G331">
            <v>833.33333333333337</v>
          </cell>
          <cell r="N331">
            <v>11000</v>
          </cell>
          <cell r="O331">
            <v>12</v>
          </cell>
          <cell r="P331" t="str">
            <v>rtg</v>
          </cell>
        </row>
        <row r="332">
          <cell r="A332" t="str">
            <v>BCABE10</v>
          </cell>
          <cell r="B332" t="str">
            <v>BONCABE Level 10 botol</v>
          </cell>
          <cell r="C332">
            <v>12</v>
          </cell>
          <cell r="D332" t="str">
            <v>btl</v>
          </cell>
          <cell r="E332">
            <v>102000</v>
          </cell>
          <cell r="F332">
            <v>102000</v>
          </cell>
          <cell r="G332">
            <v>8500</v>
          </cell>
          <cell r="H332">
            <v>10000</v>
          </cell>
          <cell r="I332" t="str">
            <v>pc</v>
          </cell>
          <cell r="J332">
            <v>10000</v>
          </cell>
          <cell r="K332" t="str">
            <v>pc</v>
          </cell>
          <cell r="L332">
            <v>9200</v>
          </cell>
          <cell r="M332" t="str">
            <v>pc</v>
          </cell>
          <cell r="T332">
            <v>104500</v>
          </cell>
          <cell r="U332">
            <v>12</v>
          </cell>
          <cell r="V332" t="str">
            <v>lsn</v>
          </cell>
          <cell r="W332">
            <v>8700</v>
          </cell>
          <cell r="X332" t="str">
            <v>pc</v>
          </cell>
          <cell r="Y332">
            <v>8900</v>
          </cell>
          <cell r="Z332" t="str">
            <v>pc</v>
          </cell>
        </row>
        <row r="333">
          <cell r="A333" t="str">
            <v>BCABE15</v>
          </cell>
          <cell r="B333" t="str">
            <v>BONCABE Level 15 botol</v>
          </cell>
          <cell r="C333">
            <v>12</v>
          </cell>
          <cell r="D333" t="str">
            <v>btl</v>
          </cell>
          <cell r="E333">
            <v>102000</v>
          </cell>
          <cell r="F333">
            <v>102000</v>
          </cell>
          <cell r="G333">
            <v>8500</v>
          </cell>
          <cell r="H333">
            <v>10000</v>
          </cell>
          <cell r="I333" t="str">
            <v>pc</v>
          </cell>
          <cell r="J333">
            <v>10000</v>
          </cell>
          <cell r="K333" t="str">
            <v>pc</v>
          </cell>
          <cell r="L333">
            <v>9200</v>
          </cell>
          <cell r="M333" t="str">
            <v>pc</v>
          </cell>
          <cell r="T333">
            <v>104500</v>
          </cell>
          <cell r="U333">
            <v>12</v>
          </cell>
          <cell r="V333" t="str">
            <v>lsn</v>
          </cell>
          <cell r="W333">
            <v>8700</v>
          </cell>
          <cell r="X333" t="str">
            <v>pc</v>
          </cell>
          <cell r="Y333">
            <v>8900</v>
          </cell>
          <cell r="Z333" t="str">
            <v>pc</v>
          </cell>
        </row>
        <row r="334">
          <cell r="A334" t="str">
            <v>BCABE30</v>
          </cell>
          <cell r="B334" t="str">
            <v>BONCABE Level 30 botol</v>
          </cell>
          <cell r="C334">
            <v>6</v>
          </cell>
          <cell r="D334" t="str">
            <v>btl</v>
          </cell>
          <cell r="E334">
            <v>70800</v>
          </cell>
          <cell r="F334">
            <v>141600</v>
          </cell>
          <cell r="G334">
            <v>11800</v>
          </cell>
          <cell r="H334">
            <v>13500</v>
          </cell>
          <cell r="I334" t="str">
            <v>pc</v>
          </cell>
          <cell r="J334">
            <v>13000</v>
          </cell>
          <cell r="K334" t="str">
            <v>pc</v>
          </cell>
          <cell r="L334">
            <v>12200</v>
          </cell>
          <cell r="M334" t="str">
            <v>pc</v>
          </cell>
          <cell r="T334">
            <v>144000</v>
          </cell>
          <cell r="U334">
            <v>12</v>
          </cell>
          <cell r="V334" t="str">
            <v>lsn</v>
          </cell>
          <cell r="W334">
            <v>11900</v>
          </cell>
          <cell r="X334" t="str">
            <v>pc</v>
          </cell>
          <cell r="Y334">
            <v>12000</v>
          </cell>
          <cell r="Z334" t="str">
            <v>pc</v>
          </cell>
        </row>
        <row r="335">
          <cell r="A335" t="str">
            <v>CBEDAK100</v>
          </cell>
          <cell r="B335" t="str">
            <v>BEDAK Cusson 100 gr</v>
          </cell>
          <cell r="C335">
            <v>6</v>
          </cell>
          <cell r="D335" t="str">
            <v>pcs</v>
          </cell>
          <cell r="E335">
            <v>37200</v>
          </cell>
          <cell r="G335">
            <v>6200</v>
          </cell>
          <cell r="H335">
            <v>8500</v>
          </cell>
          <cell r="I335" t="str">
            <v>pc</v>
          </cell>
          <cell r="J335">
            <v>8500</v>
          </cell>
          <cell r="K335" t="str">
            <v>pc</v>
          </cell>
          <cell r="L335">
            <v>8000</v>
          </cell>
          <cell r="M335" t="str">
            <v>pc</v>
          </cell>
        </row>
        <row r="336">
          <cell r="A336" t="str">
            <v>CBEDAK50</v>
          </cell>
          <cell r="B336" t="str">
            <v>BEDAK Cusson 50 gr</v>
          </cell>
          <cell r="C336">
            <v>6</v>
          </cell>
          <cell r="D336" t="str">
            <v>pcs</v>
          </cell>
          <cell r="E336">
            <v>19800</v>
          </cell>
          <cell r="G336">
            <v>3300</v>
          </cell>
          <cell r="H336">
            <v>5500</v>
          </cell>
          <cell r="I336" t="str">
            <v>pc</v>
          </cell>
          <cell r="J336">
            <v>5500</v>
          </cell>
          <cell r="K336" t="str">
            <v>pc</v>
          </cell>
          <cell r="L336">
            <v>5000</v>
          </cell>
          <cell r="M336" t="str">
            <v>pc</v>
          </cell>
        </row>
        <row r="337">
          <cell r="A337" t="str">
            <v>OIL50</v>
          </cell>
          <cell r="B337" t="str">
            <v>Baby Oil Cusson 50 ml</v>
          </cell>
          <cell r="C337">
            <v>6</v>
          </cell>
          <cell r="D337" t="str">
            <v>pcs</v>
          </cell>
          <cell r="E337">
            <v>54300</v>
          </cell>
          <cell r="G337">
            <v>9050</v>
          </cell>
          <cell r="H337">
            <v>10000</v>
          </cell>
          <cell r="I337" t="str">
            <v>pc</v>
          </cell>
          <cell r="J337">
            <v>10000</v>
          </cell>
          <cell r="K337" t="str">
            <v>pc</v>
          </cell>
          <cell r="L337">
            <v>10000</v>
          </cell>
          <cell r="M337" t="str">
            <v>pc</v>
          </cell>
        </row>
        <row r="338">
          <cell r="A338" t="str">
            <v>OIL100</v>
          </cell>
          <cell r="B338" t="str">
            <v>Baby Oil Cusson 100 ml</v>
          </cell>
          <cell r="C338">
            <v>6</v>
          </cell>
          <cell r="D338" t="str">
            <v>pcs</v>
          </cell>
          <cell r="E338">
            <v>99258</v>
          </cell>
          <cell r="G338">
            <v>16543</v>
          </cell>
          <cell r="H338">
            <v>19000</v>
          </cell>
          <cell r="I338" t="str">
            <v>pc</v>
          </cell>
          <cell r="J338">
            <v>18500</v>
          </cell>
          <cell r="K338" t="str">
            <v>pc</v>
          </cell>
          <cell r="L338">
            <v>18000</v>
          </cell>
          <cell r="M338" t="str">
            <v>pc</v>
          </cell>
        </row>
        <row r="339">
          <cell r="A339" t="str">
            <v>BRISK</v>
          </cell>
          <cell r="B339" t="str">
            <v xml:space="preserve">Brisk Clear Styling Minyak Rambut </v>
          </cell>
          <cell r="C339">
            <v>72</v>
          </cell>
          <cell r="D339" t="str">
            <v>pcs</v>
          </cell>
          <cell r="E339">
            <v>698400</v>
          </cell>
          <cell r="F339">
            <v>116400</v>
          </cell>
          <cell r="G339">
            <v>9700</v>
          </cell>
          <cell r="H339">
            <v>12000</v>
          </cell>
          <cell r="I339" t="str">
            <v>pc</v>
          </cell>
          <cell r="J339">
            <v>12000</v>
          </cell>
          <cell r="K339" t="str">
            <v>pc</v>
          </cell>
          <cell r="L339">
            <v>11500</v>
          </cell>
          <cell r="M339" t="str">
            <v>pc</v>
          </cell>
        </row>
        <row r="340">
          <cell r="A340" t="str">
            <v>TANCO20</v>
          </cell>
          <cell r="B340" t="str">
            <v>TANCO Minyak Rambut  20 gr</v>
          </cell>
          <cell r="C340">
            <v>12</v>
          </cell>
          <cell r="D340" t="str">
            <v>pcs</v>
          </cell>
          <cell r="E340">
            <v>84000</v>
          </cell>
          <cell r="G340">
            <v>7000</v>
          </cell>
          <cell r="H340">
            <v>8000</v>
          </cell>
          <cell r="I340" t="str">
            <v>pc</v>
          </cell>
          <cell r="J340">
            <v>8000</v>
          </cell>
          <cell r="K340" t="str">
            <v>pc</v>
          </cell>
          <cell r="L340">
            <v>7500</v>
          </cell>
          <cell r="M340" t="str">
            <v>pc</v>
          </cell>
        </row>
        <row r="341">
          <cell r="A341" t="str">
            <v>TANCO40</v>
          </cell>
          <cell r="B341" t="str">
            <v>TANCO Minyak Rambut  40 gr</v>
          </cell>
          <cell r="C341">
            <v>12</v>
          </cell>
          <cell r="D341" t="str">
            <v>pcs</v>
          </cell>
          <cell r="E341">
            <v>146400</v>
          </cell>
          <cell r="G341">
            <v>12200</v>
          </cell>
          <cell r="H341">
            <v>15000</v>
          </cell>
          <cell r="I341" t="str">
            <v>pc</v>
          </cell>
          <cell r="J341">
            <v>15000</v>
          </cell>
          <cell r="K341" t="str">
            <v>pc</v>
          </cell>
          <cell r="L341">
            <v>14500</v>
          </cell>
          <cell r="M341" t="str">
            <v>pc</v>
          </cell>
        </row>
        <row r="342">
          <cell r="A342" t="str">
            <v>ORANGB</v>
          </cell>
          <cell r="B342" t="str">
            <v>Minyak Rambut Orang Aring Besar</v>
          </cell>
          <cell r="C342">
            <v>12</v>
          </cell>
          <cell r="D342" t="str">
            <v>pcs</v>
          </cell>
          <cell r="E342">
            <v>108000</v>
          </cell>
          <cell r="G342">
            <v>9000</v>
          </cell>
          <cell r="H342">
            <v>9500</v>
          </cell>
          <cell r="I342" t="str">
            <v>pc</v>
          </cell>
          <cell r="J342">
            <v>9500</v>
          </cell>
          <cell r="K342" t="str">
            <v>pc</v>
          </cell>
          <cell r="L342">
            <v>9500</v>
          </cell>
          <cell r="M342" t="str">
            <v>pc</v>
          </cell>
        </row>
        <row r="343">
          <cell r="A343" t="str">
            <v>ORANGK</v>
          </cell>
          <cell r="B343" t="str">
            <v>Minyak Rambut Orang Aring Kecil</v>
          </cell>
          <cell r="C343">
            <v>12</v>
          </cell>
          <cell r="D343" t="str">
            <v>pcs</v>
          </cell>
          <cell r="E343">
            <v>65000</v>
          </cell>
          <cell r="G343">
            <v>5416.666666666667</v>
          </cell>
          <cell r="H343">
            <v>6500</v>
          </cell>
          <cell r="I343" t="str">
            <v>pc</v>
          </cell>
          <cell r="J343">
            <v>6500</v>
          </cell>
          <cell r="K343" t="str">
            <v>pc</v>
          </cell>
          <cell r="L343">
            <v>6000</v>
          </cell>
          <cell r="M343" t="str">
            <v>pc</v>
          </cell>
        </row>
        <row r="344">
          <cell r="A344" t="str">
            <v>GATSBY30</v>
          </cell>
          <cell r="B344" t="str">
            <v>Minyak Rambut GATSBY 30 gr</v>
          </cell>
          <cell r="C344">
            <v>12</v>
          </cell>
          <cell r="D344" t="str">
            <v>pcs</v>
          </cell>
          <cell r="E344">
            <v>54000</v>
          </cell>
          <cell r="G344">
            <v>4500</v>
          </cell>
          <cell r="H344">
            <v>6000</v>
          </cell>
          <cell r="I344" t="str">
            <v>pc</v>
          </cell>
          <cell r="J344">
            <v>6000</v>
          </cell>
          <cell r="K344" t="str">
            <v>pc</v>
          </cell>
          <cell r="L344">
            <v>5500</v>
          </cell>
          <cell r="M344" t="str">
            <v>pc</v>
          </cell>
        </row>
        <row r="345">
          <cell r="A345" t="str">
            <v>GATSBY28</v>
          </cell>
          <cell r="B345" t="str">
            <v>Minyak Rambut GATSBY 28 gr</v>
          </cell>
          <cell r="C345">
            <v>12</v>
          </cell>
          <cell r="D345" t="str">
            <v>pcs</v>
          </cell>
          <cell r="E345">
            <v>51600</v>
          </cell>
          <cell r="G345">
            <v>4300</v>
          </cell>
          <cell r="H345">
            <v>6000</v>
          </cell>
          <cell r="I345" t="str">
            <v>pc</v>
          </cell>
          <cell r="J345">
            <v>6000</v>
          </cell>
          <cell r="K345" t="str">
            <v>pc</v>
          </cell>
          <cell r="L345">
            <v>5500</v>
          </cell>
          <cell r="M345" t="str">
            <v>pc</v>
          </cell>
        </row>
        <row r="346">
          <cell r="A346" t="str">
            <v>GATSBY70</v>
          </cell>
          <cell r="B346" t="str">
            <v>Minyak Rambut GATSBY 70 gr</v>
          </cell>
          <cell r="C346">
            <v>12</v>
          </cell>
          <cell r="D346" t="str">
            <v>pcs</v>
          </cell>
          <cell r="E346">
            <v>84000</v>
          </cell>
          <cell r="G346">
            <v>7000</v>
          </cell>
          <cell r="H346">
            <v>9000</v>
          </cell>
          <cell r="I346" t="str">
            <v>pc</v>
          </cell>
          <cell r="J346">
            <v>9000</v>
          </cell>
          <cell r="K346" t="str">
            <v>pc</v>
          </cell>
          <cell r="L346">
            <v>8500</v>
          </cell>
          <cell r="M346" t="str">
            <v>pc</v>
          </cell>
        </row>
        <row r="347">
          <cell r="A347" t="str">
            <v>KOMPLIT</v>
          </cell>
          <cell r="B347" t="str">
            <v>Jamu Komplit</v>
          </cell>
          <cell r="C347">
            <v>10</v>
          </cell>
          <cell r="D347" t="str">
            <v>pcs</v>
          </cell>
          <cell r="E347">
            <v>26000</v>
          </cell>
          <cell r="G347">
            <v>2600</v>
          </cell>
          <cell r="H347">
            <v>4000</v>
          </cell>
          <cell r="I347" t="str">
            <v>pc</v>
          </cell>
          <cell r="J347">
            <v>4000</v>
          </cell>
          <cell r="K347" t="str">
            <v>pc</v>
          </cell>
          <cell r="L347">
            <v>3500</v>
          </cell>
          <cell r="M347" t="str">
            <v>pc</v>
          </cell>
        </row>
        <row r="348">
          <cell r="A348" t="str">
            <v>MADURASA</v>
          </cell>
          <cell r="B348" t="str">
            <v>MADURASA</v>
          </cell>
          <cell r="C348">
            <v>12</v>
          </cell>
          <cell r="D348" t="str">
            <v>pcs</v>
          </cell>
          <cell r="E348">
            <v>10000</v>
          </cell>
          <cell r="G348">
            <v>833.33333333333337</v>
          </cell>
          <cell r="H348">
            <v>1500</v>
          </cell>
          <cell r="I348" t="str">
            <v>pc</v>
          </cell>
          <cell r="J348">
            <v>1500</v>
          </cell>
          <cell r="K348" t="str">
            <v>pc</v>
          </cell>
          <cell r="L348">
            <v>1500</v>
          </cell>
          <cell r="M348" t="str">
            <v>pc</v>
          </cell>
        </row>
        <row r="349">
          <cell r="A349" t="str">
            <v>LOMBOK</v>
          </cell>
          <cell r="B349" t="str">
            <v>Lombok Kering</v>
          </cell>
          <cell r="C349">
            <v>9</v>
          </cell>
          <cell r="D349" t="str">
            <v>kg</v>
          </cell>
          <cell r="E349">
            <v>380000</v>
          </cell>
          <cell r="F349">
            <v>32500</v>
          </cell>
          <cell r="G349">
            <v>42222.222222222219</v>
          </cell>
          <cell r="H349">
            <v>50000</v>
          </cell>
          <cell r="I349" t="str">
            <v>kg</v>
          </cell>
          <cell r="J349">
            <v>50000</v>
          </cell>
          <cell r="K349" t="str">
            <v>kg</v>
          </cell>
          <cell r="L349">
            <v>50000</v>
          </cell>
          <cell r="M349" t="str">
            <v>kg</v>
          </cell>
        </row>
        <row r="350">
          <cell r="A350" t="str">
            <v>BUMBU</v>
          </cell>
          <cell r="B350" t="str">
            <v>Bumbu BUBUK RTG</v>
          </cell>
          <cell r="C350">
            <v>12</v>
          </cell>
          <cell r="D350" t="str">
            <v>rtg</v>
          </cell>
          <cell r="E350">
            <v>5833.333333333333</v>
          </cell>
          <cell r="F350">
            <v>35000</v>
          </cell>
          <cell r="G350">
            <v>486.11111111111109</v>
          </cell>
          <cell r="N350">
            <v>7000</v>
          </cell>
          <cell r="O350">
            <v>12</v>
          </cell>
          <cell r="P350" t="str">
            <v>rtg</v>
          </cell>
        </row>
        <row r="351">
          <cell r="A351" t="str">
            <v>BDESAKU</v>
          </cell>
          <cell r="B351" t="str">
            <v>Bumbu BALADO DESAKU</v>
          </cell>
          <cell r="C351">
            <v>12</v>
          </cell>
          <cell r="D351" t="str">
            <v>rtg</v>
          </cell>
          <cell r="E351">
            <v>18000</v>
          </cell>
          <cell r="G351">
            <v>1500</v>
          </cell>
          <cell r="H351">
            <v>2000</v>
          </cell>
          <cell r="I351" t="str">
            <v>pc</v>
          </cell>
          <cell r="J351">
            <v>2000</v>
          </cell>
          <cell r="K351" t="str">
            <v>pc</v>
          </cell>
          <cell r="L351">
            <v>2000</v>
          </cell>
          <cell r="M351" t="str">
            <v>pc</v>
          </cell>
          <cell r="N351">
            <v>19000</v>
          </cell>
          <cell r="O351">
            <v>12</v>
          </cell>
          <cell r="P351" t="str">
            <v>rtg</v>
          </cell>
        </row>
        <row r="352">
          <cell r="A352" t="str">
            <v>KUAHB</v>
          </cell>
          <cell r="B352" t="str">
            <v>Bumbu Kuah Baso</v>
          </cell>
          <cell r="C352">
            <v>12</v>
          </cell>
          <cell r="D352" t="str">
            <v>rtg</v>
          </cell>
          <cell r="E352">
            <v>4100</v>
          </cell>
          <cell r="F352">
            <v>41000</v>
          </cell>
          <cell r="G352">
            <v>341.66666666666669</v>
          </cell>
        </row>
        <row r="353">
          <cell r="A353" t="str">
            <v>ASAM</v>
          </cell>
          <cell r="B353" t="str">
            <v>Bumbu Asam Cap Udang Kecil</v>
          </cell>
          <cell r="C353">
            <v>12</v>
          </cell>
          <cell r="D353" t="str">
            <v>pak</v>
          </cell>
          <cell r="E353">
            <v>35000</v>
          </cell>
          <cell r="G353">
            <v>2916.6666666666665</v>
          </cell>
          <cell r="H353">
            <v>3500</v>
          </cell>
          <cell r="I353" t="str">
            <v>pcs</v>
          </cell>
          <cell r="J353">
            <v>3500</v>
          </cell>
          <cell r="K353" t="str">
            <v>pc</v>
          </cell>
          <cell r="L353">
            <v>3500</v>
          </cell>
          <cell r="M353" t="str">
            <v>pc</v>
          </cell>
          <cell r="Q353">
            <v>38000</v>
          </cell>
          <cell r="R353">
            <v>12</v>
          </cell>
          <cell r="S353" t="str">
            <v>pak</v>
          </cell>
        </row>
        <row r="354">
          <cell r="A354" t="str">
            <v>ORIGINAL</v>
          </cell>
          <cell r="B354" t="str">
            <v>Bumbu Nasi Goreng Kobe ORIGINAL</v>
          </cell>
          <cell r="C354">
            <v>12</v>
          </cell>
          <cell r="D354" t="str">
            <v>rtg</v>
          </cell>
          <cell r="E354">
            <v>9500</v>
          </cell>
          <cell r="F354">
            <v>19000</v>
          </cell>
          <cell r="G354">
            <v>791.66666666666663</v>
          </cell>
        </row>
        <row r="355">
          <cell r="A355" t="str">
            <v>POLLSETAN</v>
          </cell>
          <cell r="B355" t="str">
            <v>Bumbu Nasi Goreng Kobe Poll Setan</v>
          </cell>
          <cell r="C355">
            <v>12</v>
          </cell>
          <cell r="D355" t="str">
            <v>rtg</v>
          </cell>
          <cell r="E355">
            <v>15000</v>
          </cell>
          <cell r="F355">
            <v>30000</v>
          </cell>
          <cell r="G355">
            <v>1250</v>
          </cell>
          <cell r="H355">
            <v>2000</v>
          </cell>
          <cell r="I355" t="str">
            <v>pc</v>
          </cell>
          <cell r="J355">
            <v>2000</v>
          </cell>
          <cell r="K355" t="str">
            <v>pc</v>
          </cell>
          <cell r="L355">
            <v>1600</v>
          </cell>
          <cell r="M355" t="str">
            <v>pc</v>
          </cell>
          <cell r="N355">
            <v>17500</v>
          </cell>
          <cell r="O355">
            <v>12</v>
          </cell>
          <cell r="P355" t="str">
            <v>rtg</v>
          </cell>
          <cell r="Y355">
            <v>1458.3333333333333</v>
          </cell>
          <cell r="Z355" t="str">
            <v>pc</v>
          </cell>
        </row>
        <row r="356">
          <cell r="A356" t="str">
            <v>SAJINAS</v>
          </cell>
          <cell r="B356" t="str">
            <v>Bumbu Nasi Goreng Sajiku</v>
          </cell>
          <cell r="C356">
            <v>10</v>
          </cell>
          <cell r="D356" t="str">
            <v>pcs</v>
          </cell>
          <cell r="E356">
            <v>17000</v>
          </cell>
          <cell r="F356">
            <v>324000</v>
          </cell>
          <cell r="G356">
            <v>1700</v>
          </cell>
          <cell r="H356">
            <v>2500</v>
          </cell>
          <cell r="I356" t="str">
            <v>pcs</v>
          </cell>
          <cell r="J356">
            <v>2500</v>
          </cell>
          <cell r="K356" t="str">
            <v>pc</v>
          </cell>
          <cell r="L356">
            <v>2500</v>
          </cell>
          <cell r="M356" t="str">
            <v>pc</v>
          </cell>
          <cell r="N356">
            <v>17500</v>
          </cell>
          <cell r="O356">
            <v>10</v>
          </cell>
          <cell r="P356" t="str">
            <v>rtg</v>
          </cell>
        </row>
        <row r="357">
          <cell r="A357" t="str">
            <v>RACIKS</v>
          </cell>
          <cell r="B357" t="str">
            <v>Bumbu Racik Ikan/Nasi Goreng/Sayur</v>
          </cell>
          <cell r="C357">
            <v>10</v>
          </cell>
          <cell r="D357" t="str">
            <v>rtg</v>
          </cell>
          <cell r="E357">
            <v>14000</v>
          </cell>
          <cell r="F357">
            <v>275000</v>
          </cell>
          <cell r="G357">
            <v>1400</v>
          </cell>
          <cell r="H357">
            <v>2000</v>
          </cell>
          <cell r="I357" t="str">
            <v>pc</v>
          </cell>
          <cell r="J357">
            <v>2000</v>
          </cell>
          <cell r="K357" t="str">
            <v>pc</v>
          </cell>
          <cell r="N357">
            <v>15000</v>
          </cell>
          <cell r="O357">
            <v>10</v>
          </cell>
          <cell r="P357" t="str">
            <v>rtg</v>
          </cell>
          <cell r="Y357">
            <v>1500</v>
          </cell>
          <cell r="Z357" t="str">
            <v>pc</v>
          </cell>
        </row>
        <row r="358">
          <cell r="A358" t="str">
            <v>RACIKT</v>
          </cell>
          <cell r="B358" t="str">
            <v>Bumbu Racik Tempe</v>
          </cell>
          <cell r="C358">
            <v>10</v>
          </cell>
          <cell r="D358" t="str">
            <v>rtg</v>
          </cell>
          <cell r="E358">
            <v>9000</v>
          </cell>
          <cell r="F358">
            <v>175000</v>
          </cell>
          <cell r="G358">
            <v>900</v>
          </cell>
          <cell r="N358">
            <v>11000</v>
          </cell>
          <cell r="O358">
            <v>10</v>
          </cell>
          <cell r="P358" t="str">
            <v>rtg</v>
          </cell>
          <cell r="Y358">
            <v>1500</v>
          </cell>
        </row>
        <row r="359">
          <cell r="A359" t="str">
            <v>MAMA1</v>
          </cell>
          <cell r="B359" t="str">
            <v>Bumbu Mama Suka</v>
          </cell>
          <cell r="C359">
            <v>10</v>
          </cell>
          <cell r="D359" t="str">
            <v>rtg</v>
          </cell>
          <cell r="E359">
            <v>13750</v>
          </cell>
          <cell r="F359">
            <v>27500</v>
          </cell>
          <cell r="G359">
            <v>1375</v>
          </cell>
          <cell r="H359">
            <v>2000</v>
          </cell>
          <cell r="I359" t="str">
            <v>pcs</v>
          </cell>
          <cell r="J359">
            <v>2000</v>
          </cell>
          <cell r="K359" t="str">
            <v>pcs</v>
          </cell>
          <cell r="L359">
            <v>1500</v>
          </cell>
          <cell r="M359" t="str">
            <v>pcs</v>
          </cell>
          <cell r="N359">
            <v>15000</v>
          </cell>
          <cell r="O359">
            <v>10</v>
          </cell>
          <cell r="P359" t="str">
            <v>rtg</v>
          </cell>
          <cell r="Y359">
            <v>1500</v>
          </cell>
        </row>
        <row r="360">
          <cell r="A360" t="str">
            <v>ANTAKA</v>
          </cell>
          <cell r="B360" t="str">
            <v>Bumbu Tela-tela ANTAKA</v>
          </cell>
          <cell r="C360">
            <v>10</v>
          </cell>
          <cell r="D360" t="str">
            <v>rtg</v>
          </cell>
          <cell r="E360">
            <v>48000</v>
          </cell>
          <cell r="G360">
            <v>4800</v>
          </cell>
          <cell r="H360">
            <v>5500</v>
          </cell>
          <cell r="I360" t="str">
            <v>pcs</v>
          </cell>
          <cell r="J360">
            <v>5500</v>
          </cell>
          <cell r="K360" t="str">
            <v>pcs</v>
          </cell>
          <cell r="L360">
            <v>5300</v>
          </cell>
          <cell r="M360" t="str">
            <v>pcs</v>
          </cell>
          <cell r="N360">
            <v>50000</v>
          </cell>
          <cell r="O360">
            <v>10</v>
          </cell>
          <cell r="P360" t="str">
            <v>rtg</v>
          </cell>
          <cell r="Y360">
            <v>5000</v>
          </cell>
          <cell r="Z360" t="str">
            <v>pc</v>
          </cell>
        </row>
        <row r="361">
          <cell r="A361" t="str">
            <v>KTEMPE</v>
          </cell>
          <cell r="B361" t="str">
            <v>Bumbu Tela-tela ANTAKA</v>
          </cell>
          <cell r="C361">
            <v>10</v>
          </cell>
          <cell r="D361" t="str">
            <v>pcs</v>
          </cell>
          <cell r="E361">
            <v>17000</v>
          </cell>
          <cell r="F361">
            <v>34000</v>
          </cell>
          <cell r="G361">
            <v>1700</v>
          </cell>
          <cell r="H361">
            <v>2500</v>
          </cell>
          <cell r="I361" t="str">
            <v>pcs</v>
          </cell>
          <cell r="J361">
            <v>2500</v>
          </cell>
          <cell r="K361" t="str">
            <v>pc</v>
          </cell>
          <cell r="L361">
            <v>2000</v>
          </cell>
          <cell r="M361" t="str">
            <v>pcs</v>
          </cell>
          <cell r="N361">
            <v>19500</v>
          </cell>
          <cell r="O361">
            <v>10</v>
          </cell>
          <cell r="P361" t="str">
            <v>rtg</v>
          </cell>
          <cell r="Q361">
            <v>36500</v>
          </cell>
          <cell r="S361" t="str">
            <v>pak</v>
          </cell>
          <cell r="Y361">
            <v>1950</v>
          </cell>
          <cell r="Z361" t="str">
            <v>pc</v>
          </cell>
        </row>
        <row r="362">
          <cell r="A362" t="str">
            <v>BUMBURI</v>
          </cell>
          <cell r="B362" t="str">
            <v>BUMBURI rtg</v>
          </cell>
          <cell r="C362">
            <v>10</v>
          </cell>
          <cell r="D362" t="str">
            <v>rtg</v>
          </cell>
          <cell r="E362">
            <v>4416.666666666667</v>
          </cell>
          <cell r="F362">
            <v>53000</v>
          </cell>
          <cell r="G362">
            <v>441.66666666666669</v>
          </cell>
        </row>
        <row r="363">
          <cell r="A363" t="str">
            <v>BURYAM</v>
          </cell>
          <cell r="B363" t="str">
            <v>Buryam rtg</v>
          </cell>
          <cell r="C363">
            <v>10</v>
          </cell>
          <cell r="D363" t="str">
            <v>rtg</v>
          </cell>
          <cell r="E363">
            <v>8650</v>
          </cell>
          <cell r="F363">
            <v>103800</v>
          </cell>
          <cell r="G363">
            <v>865</v>
          </cell>
          <cell r="N363">
            <v>9500</v>
          </cell>
          <cell r="O363">
            <v>10</v>
          </cell>
          <cell r="P363" t="str">
            <v>rtg</v>
          </cell>
          <cell r="AA363">
            <v>107000</v>
          </cell>
          <cell r="AB363" t="str">
            <v>dos</v>
          </cell>
        </row>
        <row r="364">
          <cell r="A364" t="str">
            <v>BAWANG99</v>
          </cell>
          <cell r="B364" t="str">
            <v>BAWANG GORENG 99</v>
          </cell>
          <cell r="C364">
            <v>10</v>
          </cell>
          <cell r="D364" t="str">
            <v>pcs</v>
          </cell>
          <cell r="E364">
            <v>25200</v>
          </cell>
          <cell r="F364">
            <v>30240</v>
          </cell>
          <cell r="G364">
            <v>2520</v>
          </cell>
          <cell r="H364">
            <v>3500</v>
          </cell>
          <cell r="I364" t="str">
            <v>pc</v>
          </cell>
          <cell r="J364">
            <v>3500</v>
          </cell>
          <cell r="K364" t="str">
            <v>pc</v>
          </cell>
          <cell r="L364">
            <v>3000</v>
          </cell>
          <cell r="M364" t="str">
            <v>pc</v>
          </cell>
          <cell r="Q364">
            <v>29000</v>
          </cell>
          <cell r="S364" t="str">
            <v>pak</v>
          </cell>
          <cell r="Y364">
            <v>2900</v>
          </cell>
          <cell r="Z364" t="str">
            <v>pc</v>
          </cell>
        </row>
        <row r="365">
          <cell r="A365" t="str">
            <v>MILNA</v>
          </cell>
          <cell r="B365" t="str">
            <v>MILNA RENTENG</v>
          </cell>
          <cell r="C365">
            <v>8</v>
          </cell>
          <cell r="D365" t="str">
            <v>pcs</v>
          </cell>
          <cell r="E365">
            <v>11000</v>
          </cell>
          <cell r="F365">
            <v>16500</v>
          </cell>
          <cell r="G365">
            <v>1375</v>
          </cell>
          <cell r="H365">
            <v>2000</v>
          </cell>
          <cell r="I365" t="str">
            <v>pc</v>
          </cell>
          <cell r="J365">
            <v>2000</v>
          </cell>
          <cell r="K365" t="str">
            <v>pc</v>
          </cell>
          <cell r="L365">
            <v>2000</v>
          </cell>
          <cell r="M365" t="str">
            <v>pc</v>
          </cell>
          <cell r="N365">
            <v>12500</v>
          </cell>
          <cell r="P365" t="str">
            <v>rtg</v>
          </cell>
          <cell r="T365">
            <v>101000</v>
          </cell>
          <cell r="U365">
            <v>12</v>
          </cell>
          <cell r="V365" t="str">
            <v>lsn</v>
          </cell>
          <cell r="W365">
            <v>8300</v>
          </cell>
          <cell r="X365" t="str">
            <v>pc</v>
          </cell>
          <cell r="Y365">
            <v>8416.6666666666661</v>
          </cell>
          <cell r="Z365" t="str">
            <v>pc</v>
          </cell>
        </row>
        <row r="366">
          <cell r="A366" t="str">
            <v>CBAWANG</v>
          </cell>
          <cell r="B366" t="str">
            <v>Cerelac Ayam Bawang</v>
          </cell>
          <cell r="C366">
            <v>40</v>
          </cell>
          <cell r="D366" t="str">
            <v>ktk</v>
          </cell>
          <cell r="E366">
            <v>343925</v>
          </cell>
          <cell r="F366">
            <v>103177.5</v>
          </cell>
          <cell r="G366">
            <v>8598.125</v>
          </cell>
          <cell r="H366">
            <v>10000</v>
          </cell>
          <cell r="I366" t="str">
            <v>pc</v>
          </cell>
          <cell r="J366">
            <v>9700</v>
          </cell>
          <cell r="K366" t="str">
            <v>pc</v>
          </cell>
          <cell r="L366">
            <v>9500</v>
          </cell>
          <cell r="M366" t="str">
            <v>pc</v>
          </cell>
          <cell r="T366">
            <v>106000</v>
          </cell>
          <cell r="U366">
            <v>12</v>
          </cell>
          <cell r="V366" t="str">
            <v>lsn</v>
          </cell>
          <cell r="W366">
            <v>8800</v>
          </cell>
          <cell r="X366" t="str">
            <v>pc</v>
          </cell>
          <cell r="Y366">
            <v>8900</v>
          </cell>
          <cell r="Z366" t="str">
            <v>pc</v>
          </cell>
        </row>
        <row r="367">
          <cell r="A367" t="str">
            <v>CMERAH</v>
          </cell>
          <cell r="B367" t="str">
            <v>Cerelac Beras Merah</v>
          </cell>
          <cell r="C367">
            <v>40</v>
          </cell>
          <cell r="D367" t="str">
            <v>ktk</v>
          </cell>
          <cell r="E367">
            <v>343925</v>
          </cell>
          <cell r="F367">
            <v>103177.5</v>
          </cell>
          <cell r="G367">
            <v>8598.125</v>
          </cell>
          <cell r="H367">
            <v>10000</v>
          </cell>
          <cell r="I367" t="str">
            <v>pcs</v>
          </cell>
          <cell r="J367">
            <v>9700</v>
          </cell>
          <cell r="K367" t="str">
            <v>pcs</v>
          </cell>
          <cell r="L367">
            <v>9500</v>
          </cell>
          <cell r="M367" t="str">
            <v>pcs</v>
          </cell>
          <cell r="T367">
            <v>106000</v>
          </cell>
          <cell r="U367">
            <v>12</v>
          </cell>
          <cell r="V367" t="str">
            <v>lsn</v>
          </cell>
          <cell r="W367">
            <v>8800</v>
          </cell>
          <cell r="X367" t="str">
            <v>pc</v>
          </cell>
          <cell r="Y367">
            <v>8900</v>
          </cell>
          <cell r="Z367" t="str">
            <v>pc</v>
          </cell>
        </row>
        <row r="368">
          <cell r="A368" t="str">
            <v>CHIJAU</v>
          </cell>
          <cell r="B368" t="str">
            <v>Cerelac K. Hijau 120</v>
          </cell>
          <cell r="C368">
            <v>40</v>
          </cell>
          <cell r="D368" t="str">
            <v>ktk</v>
          </cell>
          <cell r="E368">
            <v>343925</v>
          </cell>
          <cell r="F368">
            <v>103177.5</v>
          </cell>
          <cell r="G368">
            <v>8598.125</v>
          </cell>
          <cell r="H368">
            <v>10000</v>
          </cell>
          <cell r="I368" t="str">
            <v>pcs</v>
          </cell>
          <cell r="J368">
            <v>9700</v>
          </cell>
          <cell r="K368" t="str">
            <v>pcs</v>
          </cell>
          <cell r="L368">
            <v>9500</v>
          </cell>
          <cell r="M368" t="str">
            <v>pcs</v>
          </cell>
          <cell r="T368">
            <v>106000</v>
          </cell>
          <cell r="U368">
            <v>12</v>
          </cell>
          <cell r="V368" t="str">
            <v>lsn</v>
          </cell>
          <cell r="W368">
            <v>8800</v>
          </cell>
          <cell r="X368" t="str">
            <v>pc</v>
          </cell>
          <cell r="Y368">
            <v>8900</v>
          </cell>
          <cell r="Z368" t="str">
            <v>pc</v>
          </cell>
        </row>
        <row r="369">
          <cell r="A369" t="str">
            <v>CBUAH</v>
          </cell>
          <cell r="B369" t="str">
            <v>Cerelac Ayam Bawang / Mix Fruit</v>
          </cell>
          <cell r="C369">
            <v>40</v>
          </cell>
          <cell r="D369" t="str">
            <v>ktk</v>
          </cell>
          <cell r="E369">
            <v>578924</v>
          </cell>
          <cell r="F369">
            <v>173677.2</v>
          </cell>
          <cell r="G369">
            <v>14473.1</v>
          </cell>
          <cell r="H369">
            <v>16000</v>
          </cell>
          <cell r="I369" t="str">
            <v>pcs</v>
          </cell>
          <cell r="J369">
            <v>16000</v>
          </cell>
          <cell r="K369" t="str">
            <v>pcs</v>
          </cell>
          <cell r="L369">
            <v>16000</v>
          </cell>
          <cell r="M369" t="str">
            <v>pcs</v>
          </cell>
        </row>
        <row r="370">
          <cell r="A370" t="str">
            <v>CSAYUR</v>
          </cell>
          <cell r="B370" t="str">
            <v>Cerelac WORTEL,BAYAM,LABU</v>
          </cell>
          <cell r="C370">
            <v>40</v>
          </cell>
          <cell r="D370" t="str">
            <v>ktk</v>
          </cell>
          <cell r="E370">
            <v>620561</v>
          </cell>
          <cell r="F370">
            <v>186168.3</v>
          </cell>
          <cell r="G370">
            <v>15514.025</v>
          </cell>
          <cell r="H370">
            <v>16500</v>
          </cell>
          <cell r="I370" t="str">
            <v>pcs</v>
          </cell>
          <cell r="J370">
            <v>16000</v>
          </cell>
          <cell r="K370" t="str">
            <v>pcs</v>
          </cell>
        </row>
        <row r="371">
          <cell r="A371" t="str">
            <v>CTIM</v>
          </cell>
          <cell r="B371" t="str">
            <v>Cerelac TIM AYAM</v>
          </cell>
          <cell r="C371">
            <v>40</v>
          </cell>
          <cell r="D371" t="str">
            <v>ktk</v>
          </cell>
          <cell r="E371">
            <v>579439</v>
          </cell>
          <cell r="F371">
            <v>173831.7</v>
          </cell>
          <cell r="G371">
            <v>14485.975</v>
          </cell>
        </row>
        <row r="372">
          <cell r="A372" t="str">
            <v>CHOCOLOLY</v>
          </cell>
          <cell r="B372" t="str">
            <v>Choco Loly Kotak</v>
          </cell>
          <cell r="C372">
            <v>24</v>
          </cell>
          <cell r="D372" t="str">
            <v>pak</v>
          </cell>
          <cell r="E372">
            <v>18500</v>
          </cell>
          <cell r="F372">
            <v>148000</v>
          </cell>
          <cell r="G372">
            <v>770.83333333333337</v>
          </cell>
          <cell r="H372">
            <v>1000</v>
          </cell>
          <cell r="I372" t="str">
            <v>pcs</v>
          </cell>
          <cell r="J372">
            <v>1000</v>
          </cell>
          <cell r="K372" t="str">
            <v>pcs</v>
          </cell>
          <cell r="L372">
            <v>1000</v>
          </cell>
          <cell r="M372" t="str">
            <v>pcs</v>
          </cell>
          <cell r="Q372">
            <v>20000</v>
          </cell>
          <cell r="R372">
            <v>24</v>
          </cell>
          <cell r="S372" t="str">
            <v>pak</v>
          </cell>
          <cell r="AA372">
            <v>151000</v>
          </cell>
          <cell r="AB372" t="str">
            <v>dos</v>
          </cell>
        </row>
        <row r="373">
          <cell r="A373" t="str">
            <v>LONG50</v>
          </cell>
          <cell r="B373" t="str">
            <v>Choco Long isi 50</v>
          </cell>
          <cell r="C373">
            <v>50</v>
          </cell>
          <cell r="D373" t="str">
            <v>pcs</v>
          </cell>
          <cell r="E373">
            <v>17333.333333333332</v>
          </cell>
          <cell r="F373">
            <v>208000</v>
          </cell>
          <cell r="G373">
            <v>346.66666666666663</v>
          </cell>
        </row>
        <row r="374">
          <cell r="A374" t="str">
            <v>CHOCO24</v>
          </cell>
          <cell r="B374" t="str">
            <v>Choco Milk 24</v>
          </cell>
          <cell r="C374">
            <v>24</v>
          </cell>
          <cell r="D374" t="str">
            <v>pak</v>
          </cell>
          <cell r="E374">
            <v>10100</v>
          </cell>
          <cell r="F374">
            <v>202000</v>
          </cell>
          <cell r="G374">
            <v>420.83333333333331</v>
          </cell>
        </row>
        <row r="375">
          <cell r="A375" t="str">
            <v>MARINA200</v>
          </cell>
          <cell r="B375" t="str">
            <v>Hand n Body Marina 200 ml</v>
          </cell>
          <cell r="C375">
            <v>12</v>
          </cell>
          <cell r="D375" t="str">
            <v>pcs</v>
          </cell>
          <cell r="E375">
            <v>93600</v>
          </cell>
          <cell r="G375">
            <v>7800</v>
          </cell>
          <cell r="H375">
            <v>10000</v>
          </cell>
          <cell r="I375" t="str">
            <v>pc</v>
          </cell>
          <cell r="J375">
            <v>9500</v>
          </cell>
          <cell r="K375" t="str">
            <v>pc</v>
          </cell>
          <cell r="L375">
            <v>9500</v>
          </cell>
          <cell r="M375" t="str">
            <v>pc</v>
          </cell>
        </row>
        <row r="376">
          <cell r="A376" t="str">
            <v>MARINA50</v>
          </cell>
          <cell r="B376" t="str">
            <v>Hand n Body Marina 50 ml</v>
          </cell>
          <cell r="C376">
            <v>12</v>
          </cell>
          <cell r="D376" t="str">
            <v>pcs</v>
          </cell>
          <cell r="E376">
            <v>36000</v>
          </cell>
          <cell r="G376">
            <v>3000</v>
          </cell>
          <cell r="H376">
            <v>5000</v>
          </cell>
          <cell r="I376" t="str">
            <v>pc</v>
          </cell>
          <cell r="J376">
            <v>4500</v>
          </cell>
          <cell r="K376" t="str">
            <v>pc</v>
          </cell>
          <cell r="L376">
            <v>4500</v>
          </cell>
          <cell r="M376" t="str">
            <v>pc</v>
          </cell>
        </row>
        <row r="377">
          <cell r="A377" t="str">
            <v>CITRA4</v>
          </cell>
          <cell r="B377" t="str">
            <v>Citra Hazline cream 4 gr</v>
          </cell>
          <cell r="C377">
            <v>12</v>
          </cell>
          <cell r="D377" t="str">
            <v>pcs</v>
          </cell>
          <cell r="E377">
            <v>54000.1</v>
          </cell>
          <cell r="G377">
            <v>4500.0083333333332</v>
          </cell>
        </row>
        <row r="378">
          <cell r="A378" t="str">
            <v>CITRA40</v>
          </cell>
          <cell r="B378" t="str">
            <v>Citra Hazline cream 40 gr</v>
          </cell>
          <cell r="C378">
            <v>12</v>
          </cell>
          <cell r="D378" t="str">
            <v>pcs</v>
          </cell>
          <cell r="E378">
            <v>198000</v>
          </cell>
          <cell r="F378">
            <v>198000</v>
          </cell>
          <cell r="G378">
            <v>16500</v>
          </cell>
        </row>
        <row r="379">
          <cell r="A379" t="str">
            <v>CITRAR</v>
          </cell>
          <cell r="B379" t="str">
            <v>Citra Hazline cream rtg</v>
          </cell>
          <cell r="C379">
            <v>12</v>
          </cell>
          <cell r="D379" t="str">
            <v>pcs</v>
          </cell>
          <cell r="E379">
            <v>38400</v>
          </cell>
          <cell r="F379">
            <v>460800</v>
          </cell>
          <cell r="G379">
            <v>3200</v>
          </cell>
          <cell r="H379">
            <v>4500</v>
          </cell>
          <cell r="I379" t="str">
            <v>pcs</v>
          </cell>
          <cell r="J379">
            <v>4000</v>
          </cell>
          <cell r="K379" t="str">
            <v>pcs</v>
          </cell>
          <cell r="L379">
            <v>3500</v>
          </cell>
          <cell r="M379" t="str">
            <v>pcs</v>
          </cell>
          <cell r="N379">
            <v>41000</v>
          </cell>
          <cell r="O379">
            <v>12</v>
          </cell>
          <cell r="P379" t="str">
            <v>rtg</v>
          </cell>
          <cell r="W379">
            <v>3400</v>
          </cell>
          <cell r="X379" t="str">
            <v>pcs</v>
          </cell>
          <cell r="Y379">
            <v>3416.6666666666665</v>
          </cell>
          <cell r="Z379" t="str">
            <v>rtg</v>
          </cell>
          <cell r="AA379">
            <v>463500</v>
          </cell>
          <cell r="AB379" t="str">
            <v>dos</v>
          </cell>
        </row>
        <row r="380">
          <cell r="A380" t="str">
            <v>LULURCITRA</v>
          </cell>
          <cell r="B380" t="str">
            <v>Citra Lulur 200 ml</v>
          </cell>
          <cell r="C380">
            <v>6</v>
          </cell>
          <cell r="D380" t="str">
            <v>pcs</v>
          </cell>
          <cell r="E380">
            <v>82797</v>
          </cell>
          <cell r="F380">
            <v>165594</v>
          </cell>
          <cell r="G380">
            <v>13799.5</v>
          </cell>
          <cell r="H380">
            <v>15000</v>
          </cell>
          <cell r="I380" t="str">
            <v>pc</v>
          </cell>
          <cell r="J380">
            <v>14700</v>
          </cell>
          <cell r="K380" t="str">
            <v>pc</v>
          </cell>
          <cell r="L380">
            <v>14500</v>
          </cell>
          <cell r="M380" t="str">
            <v>pc</v>
          </cell>
          <cell r="T380">
            <v>169000</v>
          </cell>
          <cell r="U380">
            <v>12</v>
          </cell>
          <cell r="V380" t="str">
            <v>lsn</v>
          </cell>
          <cell r="W380">
            <v>14000</v>
          </cell>
          <cell r="X380" t="str">
            <v>pc</v>
          </cell>
          <cell r="Y380">
            <v>14300</v>
          </cell>
          <cell r="Z380" t="str">
            <v>pc</v>
          </cell>
        </row>
        <row r="381">
          <cell r="A381" t="str">
            <v>CITRAB</v>
          </cell>
          <cell r="B381" t="str">
            <v>Citra Sabun btg 80 gr</v>
          </cell>
          <cell r="C381">
            <v>144</v>
          </cell>
          <cell r="D381" t="str">
            <v>pcs</v>
          </cell>
          <cell r="E381">
            <v>273600</v>
          </cell>
          <cell r="F381">
            <v>22800</v>
          </cell>
          <cell r="G381">
            <v>1900</v>
          </cell>
          <cell r="H381">
            <v>3000</v>
          </cell>
          <cell r="I381" t="str">
            <v>pcs</v>
          </cell>
          <cell r="J381">
            <v>2500</v>
          </cell>
          <cell r="K381" t="str">
            <v>pcs</v>
          </cell>
          <cell r="L381">
            <v>2300</v>
          </cell>
          <cell r="M381" t="str">
            <v>pcs</v>
          </cell>
          <cell r="T381">
            <v>25000</v>
          </cell>
          <cell r="U381">
            <v>12</v>
          </cell>
          <cell r="V381" t="str">
            <v>lsn</v>
          </cell>
          <cell r="W381">
            <v>2000</v>
          </cell>
          <cell r="X381" t="str">
            <v>pcs</v>
          </cell>
          <cell r="Y381">
            <v>2100</v>
          </cell>
          <cell r="Z381" t="str">
            <v>pcs</v>
          </cell>
          <cell r="AB381" t="str">
            <v>dos</v>
          </cell>
        </row>
        <row r="382">
          <cell r="A382" t="str">
            <v>CITRAH</v>
          </cell>
          <cell r="B382" t="str">
            <v>Citra Sabun btg Berhadiah Isi 3</v>
          </cell>
          <cell r="C382">
            <v>12</v>
          </cell>
          <cell r="D382" t="str">
            <v>pcs</v>
          </cell>
          <cell r="E382">
            <v>64800</v>
          </cell>
          <cell r="F382">
            <v>64800</v>
          </cell>
          <cell r="G382">
            <v>5400</v>
          </cell>
          <cell r="H382">
            <v>7000</v>
          </cell>
          <cell r="I382" t="str">
            <v>pak</v>
          </cell>
          <cell r="J382">
            <v>6100</v>
          </cell>
          <cell r="K382" t="str">
            <v>pak</v>
          </cell>
          <cell r="L382">
            <v>5800</v>
          </cell>
          <cell r="M382" t="str">
            <v>pak</v>
          </cell>
          <cell r="T382">
            <v>68000</v>
          </cell>
          <cell r="U382">
            <v>12</v>
          </cell>
          <cell r="V382" t="str">
            <v>lsn</v>
          </cell>
          <cell r="W382">
            <v>5600</v>
          </cell>
          <cell r="X382" t="str">
            <v>pak</v>
          </cell>
          <cell r="Y382">
            <v>5666.666666666667</v>
          </cell>
          <cell r="Z382" t="str">
            <v>pak</v>
          </cell>
        </row>
        <row r="383">
          <cell r="A383" t="str">
            <v>CITRA220B</v>
          </cell>
          <cell r="B383" t="str">
            <v>Citra Sabun Cair Btl 220 ml</v>
          </cell>
          <cell r="C383">
            <v>12</v>
          </cell>
          <cell r="D383" t="str">
            <v>pcs</v>
          </cell>
          <cell r="E383">
            <v>136620</v>
          </cell>
          <cell r="G383">
            <v>11385</v>
          </cell>
        </row>
        <row r="384">
          <cell r="A384" t="str">
            <v>CITRA220R</v>
          </cell>
          <cell r="B384" t="str">
            <v>Citra Sabun Cair Refill 220 ml</v>
          </cell>
          <cell r="C384">
            <v>24</v>
          </cell>
          <cell r="D384" t="str">
            <v>pcs</v>
          </cell>
          <cell r="E384">
            <v>244799</v>
          </cell>
          <cell r="F384">
            <v>122399.5</v>
          </cell>
          <cell r="G384">
            <v>10199.958333333334</v>
          </cell>
          <cell r="H384">
            <v>12500</v>
          </cell>
          <cell r="I384" t="str">
            <v>pcs</v>
          </cell>
          <cell r="J384">
            <v>12000</v>
          </cell>
          <cell r="K384" t="str">
            <v>pcs</v>
          </cell>
          <cell r="L384">
            <v>11500</v>
          </cell>
          <cell r="M384" t="str">
            <v>pcs</v>
          </cell>
        </row>
        <row r="385">
          <cell r="A385" t="str">
            <v>CITRA400R</v>
          </cell>
          <cell r="B385" t="str">
            <v>Citra Sabun Cair Refill 400 ml</v>
          </cell>
          <cell r="C385">
            <v>24</v>
          </cell>
          <cell r="D385" t="str">
            <v>pcs</v>
          </cell>
          <cell r="E385">
            <v>432000</v>
          </cell>
          <cell r="F385">
            <v>216000</v>
          </cell>
          <cell r="G385">
            <v>18000</v>
          </cell>
          <cell r="H385">
            <v>20000</v>
          </cell>
          <cell r="I385" t="str">
            <v>pcs</v>
          </cell>
          <cell r="J385">
            <v>20000</v>
          </cell>
          <cell r="K385" t="str">
            <v>pcs</v>
          </cell>
          <cell r="L385">
            <v>20000</v>
          </cell>
          <cell r="M385" t="str">
            <v>pcs</v>
          </cell>
        </row>
        <row r="386">
          <cell r="A386" t="str">
            <v>CITRAP</v>
          </cell>
          <cell r="B386" t="str">
            <v>Citra Sabun Korea Pink</v>
          </cell>
          <cell r="C386">
            <v>12</v>
          </cell>
          <cell r="D386" t="str">
            <v>pcs</v>
          </cell>
          <cell r="E386">
            <v>217200</v>
          </cell>
          <cell r="G386">
            <v>18100</v>
          </cell>
          <cell r="H386">
            <v>20000</v>
          </cell>
          <cell r="I386" t="str">
            <v>pcs</v>
          </cell>
          <cell r="J386">
            <v>19500</v>
          </cell>
          <cell r="K386" t="str">
            <v>pcs</v>
          </cell>
          <cell r="L386">
            <v>19000</v>
          </cell>
          <cell r="M386" t="str">
            <v>pcs</v>
          </cell>
        </row>
        <row r="387">
          <cell r="A387" t="str">
            <v>CITRA60</v>
          </cell>
          <cell r="B387" t="str">
            <v>Citra White  60 ml</v>
          </cell>
          <cell r="C387">
            <v>36</v>
          </cell>
          <cell r="D387" t="str">
            <v>pcs</v>
          </cell>
          <cell r="E387">
            <v>189000</v>
          </cell>
          <cell r="F387">
            <v>63000</v>
          </cell>
          <cell r="G387">
            <v>5250</v>
          </cell>
          <cell r="H387">
            <v>7000</v>
          </cell>
          <cell r="I387" t="str">
            <v>pcs</v>
          </cell>
          <cell r="J387">
            <v>6500</v>
          </cell>
          <cell r="K387" t="str">
            <v>pcs</v>
          </cell>
          <cell r="L387">
            <v>5700</v>
          </cell>
          <cell r="M387" t="str">
            <v>pcs</v>
          </cell>
          <cell r="T387">
            <v>67500</v>
          </cell>
          <cell r="U387">
            <v>12</v>
          </cell>
          <cell r="V387" t="str">
            <v>lsn</v>
          </cell>
          <cell r="W387">
            <v>5600</v>
          </cell>
          <cell r="X387" t="str">
            <v>pcs</v>
          </cell>
          <cell r="Y387">
            <v>5625</v>
          </cell>
          <cell r="Z387" t="str">
            <v>pcs</v>
          </cell>
        </row>
        <row r="388">
          <cell r="A388" t="str">
            <v>CITRA250B</v>
          </cell>
          <cell r="B388" t="str">
            <v>Citra White 250 ml</v>
          </cell>
          <cell r="C388">
            <v>24</v>
          </cell>
          <cell r="D388" t="str">
            <v>pcs</v>
          </cell>
          <cell r="E388">
            <v>420000</v>
          </cell>
          <cell r="F388">
            <v>210000</v>
          </cell>
          <cell r="G388">
            <v>17500</v>
          </cell>
          <cell r="H388">
            <v>19500</v>
          </cell>
          <cell r="I388" t="str">
            <v>pcs</v>
          </cell>
          <cell r="J388">
            <v>19500</v>
          </cell>
          <cell r="K388" t="str">
            <v>pcs</v>
          </cell>
          <cell r="L388">
            <v>19000</v>
          </cell>
          <cell r="M388" t="str">
            <v>pcs</v>
          </cell>
        </row>
        <row r="389">
          <cell r="A389" t="str">
            <v>CITRA400P</v>
          </cell>
          <cell r="B389" t="str">
            <v>Citra White Bengkoang 400 ml pump</v>
          </cell>
          <cell r="C389">
            <v>12</v>
          </cell>
          <cell r="D389" t="str">
            <v>btl</v>
          </cell>
          <cell r="E389">
            <v>279600</v>
          </cell>
          <cell r="G389">
            <v>23300</v>
          </cell>
          <cell r="H389">
            <v>26500</v>
          </cell>
          <cell r="I389" t="str">
            <v>pcs</v>
          </cell>
          <cell r="J389">
            <v>26000</v>
          </cell>
          <cell r="K389" t="str">
            <v>pcs</v>
          </cell>
          <cell r="L389">
            <v>25500</v>
          </cell>
          <cell r="M389" t="str">
            <v>pcs</v>
          </cell>
        </row>
        <row r="390">
          <cell r="A390" t="str">
            <v>CITRA120</v>
          </cell>
          <cell r="B390" t="str">
            <v>CITRA120</v>
          </cell>
          <cell r="C390">
            <v>36</v>
          </cell>
          <cell r="D390" t="str">
            <v>pcs</v>
          </cell>
          <cell r="E390">
            <v>392400</v>
          </cell>
          <cell r="F390">
            <v>130800</v>
          </cell>
          <cell r="G390">
            <v>10900</v>
          </cell>
          <cell r="H390">
            <v>13000</v>
          </cell>
          <cell r="I390" t="str">
            <v>pcs</v>
          </cell>
          <cell r="J390">
            <v>13000</v>
          </cell>
          <cell r="K390" t="str">
            <v>pcs</v>
          </cell>
          <cell r="L390">
            <v>12500</v>
          </cell>
          <cell r="M390" t="str">
            <v>pcs</v>
          </cell>
        </row>
        <row r="391">
          <cell r="A391" t="str">
            <v>CLEAR1</v>
          </cell>
          <cell r="B391" t="str">
            <v>Clear 10 ML Rtg</v>
          </cell>
          <cell r="C391">
            <v>12</v>
          </cell>
          <cell r="D391" t="str">
            <v>rtg</v>
          </cell>
          <cell r="E391">
            <v>9300</v>
          </cell>
          <cell r="F391">
            <v>372000</v>
          </cell>
          <cell r="G391">
            <v>775</v>
          </cell>
          <cell r="N391">
            <v>11000</v>
          </cell>
          <cell r="O391">
            <v>12</v>
          </cell>
          <cell r="P391" t="str">
            <v>rtg</v>
          </cell>
          <cell r="AA391">
            <v>375000</v>
          </cell>
          <cell r="AB391" t="str">
            <v>dos</v>
          </cell>
        </row>
        <row r="392">
          <cell r="A392" t="str">
            <v>CLEAR170W</v>
          </cell>
          <cell r="B392" t="str">
            <v>Clear 170 ml Women</v>
          </cell>
          <cell r="C392">
            <v>4</v>
          </cell>
          <cell r="D392" t="str">
            <v>btl</v>
          </cell>
          <cell r="E392">
            <v>96000</v>
          </cell>
          <cell r="F392">
            <v>288000</v>
          </cell>
          <cell r="G392">
            <v>24000</v>
          </cell>
          <cell r="H392">
            <v>25000</v>
          </cell>
          <cell r="I392" t="str">
            <v>btl</v>
          </cell>
          <cell r="J392">
            <v>25000</v>
          </cell>
          <cell r="K392" t="str">
            <v>btl</v>
          </cell>
        </row>
        <row r="393">
          <cell r="A393" t="str">
            <v>CLEAR170M</v>
          </cell>
          <cell r="B393" t="str">
            <v>Clear 170 ml Men</v>
          </cell>
          <cell r="C393">
            <v>4</v>
          </cell>
          <cell r="D393" t="str">
            <v>btl</v>
          </cell>
          <cell r="E393">
            <v>96000</v>
          </cell>
          <cell r="F393">
            <v>288000</v>
          </cell>
          <cell r="G393">
            <v>24000</v>
          </cell>
          <cell r="H393">
            <v>25000</v>
          </cell>
          <cell r="I393" t="str">
            <v>btl</v>
          </cell>
          <cell r="J393">
            <v>25000</v>
          </cell>
          <cell r="K393" t="str">
            <v>btl</v>
          </cell>
        </row>
        <row r="394">
          <cell r="A394" t="str">
            <v>CLEAR340</v>
          </cell>
          <cell r="B394" t="str">
            <v>Clear 340 ml</v>
          </cell>
          <cell r="C394">
            <v>18</v>
          </cell>
          <cell r="D394" t="str">
            <v>btl</v>
          </cell>
          <cell r="E394">
            <v>639000</v>
          </cell>
          <cell r="F394">
            <v>426000</v>
          </cell>
          <cell r="G394">
            <v>35500</v>
          </cell>
          <cell r="H394">
            <v>37000</v>
          </cell>
          <cell r="I394" t="str">
            <v>btl</v>
          </cell>
          <cell r="J394">
            <v>36500</v>
          </cell>
          <cell r="K394" t="str">
            <v>btl</v>
          </cell>
          <cell r="L394">
            <v>35700</v>
          </cell>
          <cell r="M394" t="str">
            <v>btl</v>
          </cell>
        </row>
        <row r="395">
          <cell r="A395" t="str">
            <v>CLEAR70M</v>
          </cell>
          <cell r="B395" t="str">
            <v xml:space="preserve">Clear MEN 70 ML </v>
          </cell>
          <cell r="C395">
            <v>3</v>
          </cell>
          <cell r="D395" t="str">
            <v>btl</v>
          </cell>
          <cell r="E395">
            <v>39000</v>
          </cell>
          <cell r="F395">
            <v>156000</v>
          </cell>
          <cell r="G395">
            <v>13000</v>
          </cell>
          <cell r="H395">
            <v>14000</v>
          </cell>
          <cell r="I395" t="str">
            <v>btl</v>
          </cell>
        </row>
        <row r="396">
          <cell r="A396" t="str">
            <v>CLEAR70W</v>
          </cell>
          <cell r="B396" t="str">
            <v>Clear WOMEN 70 ML</v>
          </cell>
          <cell r="C396">
            <v>48</v>
          </cell>
          <cell r="D396" t="str">
            <v>btl</v>
          </cell>
          <cell r="E396">
            <v>456000</v>
          </cell>
          <cell r="F396">
            <v>114000</v>
          </cell>
          <cell r="G396">
            <v>9500</v>
          </cell>
          <cell r="H396">
            <v>14000</v>
          </cell>
          <cell r="I396" t="str">
            <v>btl</v>
          </cell>
        </row>
        <row r="397">
          <cell r="A397" t="str">
            <v>CLOSE110</v>
          </cell>
          <cell r="B397" t="str">
            <v>Close Up 110 gr</v>
          </cell>
          <cell r="C397">
            <v>12</v>
          </cell>
          <cell r="D397" t="str">
            <v>pak</v>
          </cell>
          <cell r="E397">
            <v>135000</v>
          </cell>
          <cell r="G397">
            <v>11250</v>
          </cell>
          <cell r="H397">
            <v>12500</v>
          </cell>
          <cell r="I397" t="str">
            <v>pc</v>
          </cell>
          <cell r="J397">
            <v>12000</v>
          </cell>
          <cell r="K397" t="str">
            <v>pc</v>
          </cell>
          <cell r="L397">
            <v>12000</v>
          </cell>
          <cell r="M397" t="str">
            <v>pc</v>
          </cell>
        </row>
        <row r="398">
          <cell r="A398" t="str">
            <v>CLOSE160</v>
          </cell>
          <cell r="B398" t="str">
            <v>Close Up 160 gr</v>
          </cell>
          <cell r="C398">
            <v>48</v>
          </cell>
          <cell r="D398" t="str">
            <v>pak</v>
          </cell>
          <cell r="E398">
            <v>652800</v>
          </cell>
          <cell r="F398">
            <v>163200</v>
          </cell>
          <cell r="G398">
            <v>13600</v>
          </cell>
          <cell r="H398">
            <v>15000</v>
          </cell>
          <cell r="I398" t="str">
            <v>pc</v>
          </cell>
          <cell r="J398">
            <v>14500</v>
          </cell>
          <cell r="K398" t="str">
            <v>pc</v>
          </cell>
          <cell r="L398">
            <v>14500</v>
          </cell>
          <cell r="M398" t="str">
            <v>pc</v>
          </cell>
        </row>
        <row r="399">
          <cell r="A399" t="str">
            <v>CLOSE65</v>
          </cell>
          <cell r="B399" t="str">
            <v>Close Up 65 gr</v>
          </cell>
          <cell r="C399">
            <v>12</v>
          </cell>
          <cell r="D399" t="str">
            <v>pak</v>
          </cell>
          <cell r="E399">
            <v>75000</v>
          </cell>
          <cell r="G399">
            <v>6250</v>
          </cell>
          <cell r="H399">
            <v>7000</v>
          </cell>
          <cell r="I399" t="str">
            <v>pc</v>
          </cell>
          <cell r="J399">
            <v>7000</v>
          </cell>
          <cell r="K399" t="str">
            <v>pc</v>
          </cell>
          <cell r="L399">
            <v>7000</v>
          </cell>
          <cell r="M399" t="str">
            <v>pc</v>
          </cell>
        </row>
        <row r="400">
          <cell r="A400" t="str">
            <v>COCOA45</v>
          </cell>
          <cell r="B400" t="str">
            <v>Cocoa K 45 gr</v>
          </cell>
          <cell r="C400">
            <v>10</v>
          </cell>
          <cell r="D400" t="str">
            <v>pcs</v>
          </cell>
          <cell r="E400">
            <v>77100</v>
          </cell>
          <cell r="G400">
            <v>7710</v>
          </cell>
          <cell r="H400">
            <v>9000</v>
          </cell>
          <cell r="I400" t="str">
            <v>pc</v>
          </cell>
          <cell r="J400">
            <v>9000</v>
          </cell>
          <cell r="K400" t="str">
            <v>pc</v>
          </cell>
          <cell r="L400">
            <v>8500</v>
          </cell>
          <cell r="M400" t="str">
            <v>pc</v>
          </cell>
          <cell r="Q400">
            <v>83000</v>
          </cell>
          <cell r="R400">
            <v>10</v>
          </cell>
          <cell r="S400" t="str">
            <v>pak</v>
          </cell>
          <cell r="Y400">
            <v>8300</v>
          </cell>
          <cell r="Z400" t="str">
            <v>pc</v>
          </cell>
        </row>
        <row r="401">
          <cell r="A401" t="str">
            <v>COCOA90</v>
          </cell>
          <cell r="B401" t="str">
            <v>Cocow B 90 gr</v>
          </cell>
          <cell r="C401">
            <v>10</v>
          </cell>
          <cell r="D401" t="str">
            <v>pcs</v>
          </cell>
          <cell r="E401">
            <v>165000</v>
          </cell>
          <cell r="G401">
            <v>16500</v>
          </cell>
          <cell r="H401">
            <v>17500</v>
          </cell>
          <cell r="I401" t="str">
            <v>pc</v>
          </cell>
          <cell r="J401">
            <v>17000</v>
          </cell>
          <cell r="K401" t="str">
            <v>pc</v>
          </cell>
          <cell r="L401">
            <v>17000</v>
          </cell>
          <cell r="M401" t="str">
            <v>pc</v>
          </cell>
          <cell r="Q401">
            <v>169000</v>
          </cell>
          <cell r="R401">
            <v>10</v>
          </cell>
          <cell r="S401" t="str">
            <v>pak</v>
          </cell>
        </row>
        <row r="402">
          <cell r="A402" t="str">
            <v>COCOA180</v>
          </cell>
          <cell r="B402" t="str">
            <v>Cocow B 180 gr</v>
          </cell>
          <cell r="C402">
            <v>5</v>
          </cell>
          <cell r="D402" t="str">
            <v>pcs</v>
          </cell>
          <cell r="E402">
            <v>119130</v>
          </cell>
          <cell r="G402">
            <v>23826</v>
          </cell>
          <cell r="H402">
            <v>26000</v>
          </cell>
          <cell r="I402" t="str">
            <v>pc</v>
          </cell>
          <cell r="J402">
            <v>26000</v>
          </cell>
          <cell r="K402" t="str">
            <v>pc</v>
          </cell>
          <cell r="L402">
            <v>25500</v>
          </cell>
          <cell r="M402" t="str">
            <v>pc</v>
          </cell>
          <cell r="Q402">
            <v>169000</v>
          </cell>
          <cell r="R402">
            <v>10</v>
          </cell>
          <cell r="S402" t="str">
            <v>pak</v>
          </cell>
        </row>
        <row r="403">
          <cell r="A403" t="str">
            <v>DAIRY60</v>
          </cell>
          <cell r="B403" t="str">
            <v>DAIRY MILK 62 gr</v>
          </cell>
          <cell r="C403">
            <v>12</v>
          </cell>
          <cell r="D403" t="str">
            <v>pcs</v>
          </cell>
          <cell r="E403">
            <v>144700</v>
          </cell>
          <cell r="G403">
            <v>12058.333333333334</v>
          </cell>
          <cell r="H403">
            <v>14000</v>
          </cell>
          <cell r="I403" t="str">
            <v>pc</v>
          </cell>
          <cell r="J403">
            <v>14000</v>
          </cell>
          <cell r="K403" t="str">
            <v>pc</v>
          </cell>
          <cell r="L403">
            <v>14000</v>
          </cell>
          <cell r="M403" t="str">
            <v>pc</v>
          </cell>
        </row>
        <row r="404">
          <cell r="A404" t="str">
            <v>DAIRY15</v>
          </cell>
          <cell r="B404" t="str">
            <v>DAIRY MILK 15 gr</v>
          </cell>
          <cell r="C404">
            <v>36</v>
          </cell>
          <cell r="D404" t="str">
            <v>pcs</v>
          </cell>
          <cell r="E404">
            <v>66167</v>
          </cell>
          <cell r="G404">
            <v>1837.9722222222222</v>
          </cell>
          <cell r="H404">
            <v>3000</v>
          </cell>
          <cell r="I404" t="str">
            <v>pc</v>
          </cell>
          <cell r="J404">
            <v>3000</v>
          </cell>
          <cell r="K404" t="str">
            <v>pc</v>
          </cell>
          <cell r="L404">
            <v>3000</v>
          </cell>
          <cell r="M404" t="str">
            <v>pc</v>
          </cell>
        </row>
        <row r="405">
          <cell r="A405" t="str">
            <v>DAIRY30</v>
          </cell>
          <cell r="B405" t="str">
            <v>DAIRY MILK 30gr</v>
          </cell>
          <cell r="C405">
            <v>24</v>
          </cell>
          <cell r="D405" t="str">
            <v>pcs</v>
          </cell>
          <cell r="E405">
            <v>155232</v>
          </cell>
          <cell r="G405">
            <v>6468</v>
          </cell>
          <cell r="H405">
            <v>7500</v>
          </cell>
          <cell r="I405" t="str">
            <v>pc</v>
          </cell>
          <cell r="J405">
            <v>7500</v>
          </cell>
          <cell r="K405" t="str">
            <v>pc</v>
          </cell>
          <cell r="L405">
            <v>7500</v>
          </cell>
          <cell r="M405" t="str">
            <v>pc</v>
          </cell>
        </row>
        <row r="406">
          <cell r="A406" t="str">
            <v>TOKIP</v>
          </cell>
          <cell r="B406" t="str">
            <v>TOKI COKLAT BLOK</v>
          </cell>
          <cell r="C406">
            <v>20</v>
          </cell>
          <cell r="D406" t="str">
            <v>pak</v>
          </cell>
          <cell r="E406">
            <v>8083.333333333333</v>
          </cell>
          <cell r="F406">
            <v>97000</v>
          </cell>
          <cell r="G406">
            <v>404.16666666666663</v>
          </cell>
          <cell r="Q406">
            <v>9000</v>
          </cell>
          <cell r="R406">
            <v>20</v>
          </cell>
          <cell r="S406" t="str">
            <v>pak</v>
          </cell>
          <cell r="AA406">
            <v>100000</v>
          </cell>
          <cell r="AB406" t="str">
            <v>dos</v>
          </cell>
        </row>
        <row r="407">
          <cell r="A407" t="str">
            <v>ANIMAL</v>
          </cell>
          <cell r="B407" t="str">
            <v>COKLAT ANIMAL</v>
          </cell>
          <cell r="C407">
            <v>20</v>
          </cell>
          <cell r="D407" t="str">
            <v>pak</v>
          </cell>
          <cell r="E407">
            <v>9527.7777777777774</v>
          </cell>
          <cell r="F407">
            <v>343000</v>
          </cell>
          <cell r="G407">
            <v>476.38888888888886</v>
          </cell>
          <cell r="Q407">
            <v>10500</v>
          </cell>
          <cell r="R407">
            <v>20</v>
          </cell>
          <cell r="S407" t="str">
            <v>pak</v>
          </cell>
          <cell r="AA407">
            <v>347000</v>
          </cell>
          <cell r="AB407" t="str">
            <v>dos</v>
          </cell>
        </row>
        <row r="408">
          <cell r="A408" t="str">
            <v>BIG1G</v>
          </cell>
          <cell r="B408" t="str">
            <v>Coklat Big 1 Hadiah Gelas</v>
          </cell>
          <cell r="C408">
            <v>30</v>
          </cell>
          <cell r="D408" t="str">
            <v>pak</v>
          </cell>
          <cell r="E408">
            <v>12333.333333333334</v>
          </cell>
          <cell r="F408">
            <v>74000</v>
          </cell>
          <cell r="G408">
            <v>411.11111111111114</v>
          </cell>
          <cell r="Q408">
            <v>13500</v>
          </cell>
          <cell r="R408">
            <v>30</v>
          </cell>
          <cell r="S408" t="str">
            <v>pak</v>
          </cell>
          <cell r="AA408">
            <v>76000</v>
          </cell>
          <cell r="AB408" t="str">
            <v>dos</v>
          </cell>
        </row>
        <row r="409">
          <cell r="A409" t="str">
            <v>BALI</v>
          </cell>
          <cell r="B409" t="str">
            <v>Coklat Tobelo Bali Choco Tos</v>
          </cell>
          <cell r="C409">
            <v>20</v>
          </cell>
          <cell r="D409" t="str">
            <v>pcs</v>
          </cell>
          <cell r="E409">
            <v>16000</v>
          </cell>
          <cell r="F409">
            <v>64000</v>
          </cell>
          <cell r="G409">
            <v>800</v>
          </cell>
          <cell r="H409">
            <v>1500</v>
          </cell>
          <cell r="I409" t="str">
            <v>pc</v>
          </cell>
          <cell r="J409">
            <v>1500</v>
          </cell>
          <cell r="K409" t="str">
            <v>pc</v>
          </cell>
          <cell r="L409">
            <v>1500</v>
          </cell>
          <cell r="M409" t="str">
            <v>pc</v>
          </cell>
          <cell r="Q409">
            <v>18500</v>
          </cell>
          <cell r="R409">
            <v>20</v>
          </cell>
          <cell r="S409" t="str">
            <v>pak</v>
          </cell>
          <cell r="AA409">
            <v>67000</v>
          </cell>
          <cell r="AB409" t="str">
            <v>dos</v>
          </cell>
        </row>
        <row r="410">
          <cell r="A410" t="str">
            <v>KORNET120</v>
          </cell>
          <cell r="B410" t="str">
            <v>Cornet Pronas 120 gr</v>
          </cell>
          <cell r="C410">
            <v>12</v>
          </cell>
          <cell r="D410" t="str">
            <v>pcs</v>
          </cell>
          <cell r="E410">
            <v>100212</v>
          </cell>
          <cell r="F410">
            <v>100212</v>
          </cell>
          <cell r="G410">
            <v>8351</v>
          </cell>
          <cell r="H410">
            <v>11000</v>
          </cell>
          <cell r="I410" t="str">
            <v>pc</v>
          </cell>
          <cell r="J410">
            <v>10500</v>
          </cell>
          <cell r="K410" t="str">
            <v>pc</v>
          </cell>
          <cell r="L410">
            <v>10000</v>
          </cell>
          <cell r="M410" t="str">
            <v>pc</v>
          </cell>
        </row>
        <row r="411">
          <cell r="A411" t="str">
            <v>KORNET198</v>
          </cell>
          <cell r="B411" t="str">
            <v>Cornet Pronas 198 gr</v>
          </cell>
          <cell r="C411">
            <v>12</v>
          </cell>
          <cell r="D411" t="str">
            <v>pcs</v>
          </cell>
          <cell r="E411">
            <v>168154</v>
          </cell>
          <cell r="F411">
            <v>168154</v>
          </cell>
          <cell r="G411">
            <v>14012.833333333334</v>
          </cell>
          <cell r="H411">
            <v>16000</v>
          </cell>
          <cell r="I411" t="str">
            <v>pc</v>
          </cell>
          <cell r="J411">
            <v>15500</v>
          </cell>
          <cell r="K411" t="str">
            <v>pc</v>
          </cell>
          <cell r="L411">
            <v>15000</v>
          </cell>
          <cell r="M411" t="str">
            <v>pc</v>
          </cell>
        </row>
        <row r="412">
          <cell r="A412" t="str">
            <v>KORNET340</v>
          </cell>
          <cell r="B412" t="str">
            <v>Cornet Pronas 340 gr</v>
          </cell>
          <cell r="C412">
            <v>12</v>
          </cell>
          <cell r="D412" t="str">
            <v>pcs</v>
          </cell>
          <cell r="E412">
            <v>240924</v>
          </cell>
          <cell r="G412">
            <v>20077</v>
          </cell>
          <cell r="H412">
            <v>22000</v>
          </cell>
          <cell r="I412" t="str">
            <v>pc</v>
          </cell>
          <cell r="J412">
            <v>21500</v>
          </cell>
          <cell r="K412" t="str">
            <v>pc</v>
          </cell>
          <cell r="L412">
            <v>21000</v>
          </cell>
          <cell r="M412" t="str">
            <v>pc</v>
          </cell>
        </row>
        <row r="413">
          <cell r="A413" t="str">
            <v>KORNET325</v>
          </cell>
          <cell r="B413" t="str">
            <v>Cornet Pronas 325 gr</v>
          </cell>
          <cell r="C413">
            <v>6</v>
          </cell>
          <cell r="D413" t="str">
            <v>pcs</v>
          </cell>
          <cell r="E413">
            <v>95988</v>
          </cell>
          <cell r="G413">
            <v>15998</v>
          </cell>
        </row>
        <row r="414">
          <cell r="A414" t="str">
            <v>KERIKANB</v>
          </cell>
          <cell r="B414" t="str">
            <v>Cukuran Gilitty Blue II</v>
          </cell>
          <cell r="C414">
            <v>24</v>
          </cell>
          <cell r="D414" t="str">
            <v>pcs</v>
          </cell>
          <cell r="E414">
            <v>148000</v>
          </cell>
          <cell r="F414">
            <v>74000</v>
          </cell>
          <cell r="G414">
            <v>6166.666666666667</v>
          </cell>
          <cell r="H414">
            <v>7500</v>
          </cell>
          <cell r="I414" t="str">
            <v>pc</v>
          </cell>
          <cell r="J414">
            <v>7000</v>
          </cell>
          <cell r="K414" t="str">
            <v>pc</v>
          </cell>
          <cell r="L414">
            <v>6900</v>
          </cell>
          <cell r="M414" t="str">
            <v>pc</v>
          </cell>
          <cell r="T414">
            <v>78000</v>
          </cell>
          <cell r="U414">
            <v>12</v>
          </cell>
          <cell r="V414" t="str">
            <v>lsn</v>
          </cell>
        </row>
        <row r="415">
          <cell r="A415" t="str">
            <v>KERIKANK</v>
          </cell>
          <cell r="B415" t="str">
            <v>Cukuran Gillette Kuning</v>
          </cell>
          <cell r="C415">
            <v>24</v>
          </cell>
          <cell r="D415" t="str">
            <v>pcs</v>
          </cell>
          <cell r="E415">
            <v>65000</v>
          </cell>
          <cell r="F415">
            <v>32500</v>
          </cell>
          <cell r="G415">
            <v>2708.3333333333335</v>
          </cell>
        </row>
        <row r="416">
          <cell r="A416" t="str">
            <v>SGM1000</v>
          </cell>
          <cell r="B416" t="str">
            <v>SGM  1000 GR</v>
          </cell>
          <cell r="C416">
            <v>12</v>
          </cell>
          <cell r="D416" t="str">
            <v>pcs</v>
          </cell>
          <cell r="E416">
            <v>1004484</v>
          </cell>
          <cell r="G416">
            <v>83707</v>
          </cell>
          <cell r="H416">
            <v>86500</v>
          </cell>
          <cell r="I416" t="str">
            <v>pc</v>
          </cell>
          <cell r="J416">
            <v>86500</v>
          </cell>
          <cell r="K416" t="str">
            <v>pc</v>
          </cell>
          <cell r="L416">
            <v>86000</v>
          </cell>
          <cell r="M416" t="str">
            <v>pc</v>
          </cell>
        </row>
        <row r="417">
          <cell r="A417" t="str">
            <v>SGM1900</v>
          </cell>
          <cell r="B417" t="str">
            <v>SGM 1 900 GR</v>
          </cell>
          <cell r="C417">
            <v>12</v>
          </cell>
          <cell r="D417" t="str">
            <v>pcs</v>
          </cell>
          <cell r="E417">
            <v>934920</v>
          </cell>
          <cell r="G417">
            <v>77910</v>
          </cell>
          <cell r="H417">
            <v>79500</v>
          </cell>
          <cell r="I417" t="str">
            <v>pc</v>
          </cell>
          <cell r="J417">
            <v>79500</v>
          </cell>
          <cell r="K417" t="str">
            <v>pc</v>
          </cell>
          <cell r="L417">
            <v>79500</v>
          </cell>
          <cell r="M417" t="str">
            <v>pc</v>
          </cell>
        </row>
        <row r="418">
          <cell r="A418" t="str">
            <v>SGM1400</v>
          </cell>
          <cell r="B418" t="str">
            <v>SGM 1 400 GR</v>
          </cell>
          <cell r="C418">
            <v>6</v>
          </cell>
          <cell r="D418" t="str">
            <v>pcs</v>
          </cell>
          <cell r="E418">
            <v>214206</v>
          </cell>
          <cell r="G418">
            <v>35701</v>
          </cell>
          <cell r="H418">
            <v>38000</v>
          </cell>
          <cell r="I418" t="str">
            <v>pc</v>
          </cell>
          <cell r="J418">
            <v>38000</v>
          </cell>
          <cell r="K418" t="str">
            <v>pc</v>
          </cell>
          <cell r="L418">
            <v>37500</v>
          </cell>
          <cell r="M418" t="str">
            <v>pc</v>
          </cell>
        </row>
        <row r="419">
          <cell r="A419" t="str">
            <v>SGM3400</v>
          </cell>
          <cell r="B419" t="str">
            <v>SGM 3 400 GR</v>
          </cell>
          <cell r="C419">
            <v>6</v>
          </cell>
          <cell r="D419" t="str">
            <v>pcs</v>
          </cell>
          <cell r="E419">
            <v>215964</v>
          </cell>
          <cell r="G419">
            <v>35994</v>
          </cell>
          <cell r="H419">
            <v>38000</v>
          </cell>
          <cell r="I419" t="str">
            <v>pc</v>
          </cell>
          <cell r="J419">
            <v>38000</v>
          </cell>
          <cell r="K419" t="str">
            <v>pc</v>
          </cell>
          <cell r="L419">
            <v>37500</v>
          </cell>
          <cell r="M419" t="str">
            <v>pc</v>
          </cell>
        </row>
        <row r="420">
          <cell r="A420" t="str">
            <v>SGM3150</v>
          </cell>
          <cell r="B420" t="str">
            <v>SGM  3 150 GR</v>
          </cell>
          <cell r="C420">
            <v>6</v>
          </cell>
          <cell r="D420" t="str">
            <v>pcs</v>
          </cell>
          <cell r="E420">
            <v>155928</v>
          </cell>
          <cell r="G420">
            <v>25988</v>
          </cell>
          <cell r="H420">
            <v>16000</v>
          </cell>
          <cell r="I420" t="str">
            <v>pc</v>
          </cell>
          <cell r="J420">
            <v>16000</v>
          </cell>
          <cell r="K420" t="str">
            <v>pc</v>
          </cell>
          <cell r="L420">
            <v>15500</v>
          </cell>
          <cell r="M420" t="str">
            <v>pc</v>
          </cell>
        </row>
        <row r="421">
          <cell r="A421" t="str">
            <v>DAN1400</v>
          </cell>
          <cell r="B421" t="str">
            <v>Dancow 1 + 400 GR</v>
          </cell>
          <cell r="C421">
            <v>24</v>
          </cell>
          <cell r="D421" t="str">
            <v>ktk</v>
          </cell>
          <cell r="E421">
            <v>1141132</v>
          </cell>
          <cell r="G421">
            <v>47547.166666666664</v>
          </cell>
          <cell r="H421">
            <v>50000</v>
          </cell>
          <cell r="I421" t="str">
            <v>pc</v>
          </cell>
          <cell r="J421">
            <v>50000</v>
          </cell>
          <cell r="K421" t="str">
            <v>pc</v>
          </cell>
          <cell r="L421">
            <v>49500</v>
          </cell>
          <cell r="M421" t="str">
            <v>pc</v>
          </cell>
        </row>
        <row r="422">
          <cell r="A422" t="str">
            <v>DAN1800</v>
          </cell>
          <cell r="B422" t="str">
            <v>Dancow 1 + 800 GR</v>
          </cell>
          <cell r="C422">
            <v>12</v>
          </cell>
          <cell r="D422" t="str">
            <v>ktk</v>
          </cell>
          <cell r="E422">
            <v>1083396</v>
          </cell>
          <cell r="G422">
            <v>90283</v>
          </cell>
          <cell r="H422">
            <v>93500</v>
          </cell>
          <cell r="I422" t="str">
            <v>pc</v>
          </cell>
          <cell r="J422">
            <v>93000</v>
          </cell>
          <cell r="K422" t="str">
            <v>pc</v>
          </cell>
          <cell r="L422">
            <v>92500</v>
          </cell>
          <cell r="M422" t="str">
            <v>pc</v>
          </cell>
        </row>
        <row r="423">
          <cell r="A423" t="str">
            <v>DAN3400</v>
          </cell>
          <cell r="B423" t="str">
            <v>Dancow 3 + 400 GR</v>
          </cell>
          <cell r="C423">
            <v>24</v>
          </cell>
          <cell r="D423" t="str">
            <v>ktk</v>
          </cell>
          <cell r="E423">
            <v>1127547</v>
          </cell>
          <cell r="G423">
            <v>46981.125</v>
          </cell>
          <cell r="H423">
            <v>49500</v>
          </cell>
          <cell r="I423" t="str">
            <v>ktk</v>
          </cell>
          <cell r="J423">
            <v>49500</v>
          </cell>
          <cell r="K423" t="str">
            <v>ktk</v>
          </cell>
          <cell r="L423">
            <v>49000</v>
          </cell>
          <cell r="M423" t="str">
            <v>ktk</v>
          </cell>
        </row>
        <row r="424">
          <cell r="A424" t="str">
            <v>DAN3800</v>
          </cell>
          <cell r="B424" t="str">
            <v>Dancow 3 + 800 GR</v>
          </cell>
          <cell r="C424">
            <v>12</v>
          </cell>
          <cell r="D424" t="str">
            <v>ktk</v>
          </cell>
          <cell r="E424">
            <v>1086792</v>
          </cell>
          <cell r="G424">
            <v>90566</v>
          </cell>
          <cell r="H424">
            <v>93000</v>
          </cell>
          <cell r="I424" t="str">
            <v>ktk</v>
          </cell>
          <cell r="J424">
            <v>93000</v>
          </cell>
          <cell r="K424" t="str">
            <v>ktk</v>
          </cell>
          <cell r="L424">
            <v>92500</v>
          </cell>
          <cell r="M424" t="str">
            <v>ktk</v>
          </cell>
        </row>
        <row r="425">
          <cell r="A425" t="str">
            <v>DAN5400</v>
          </cell>
          <cell r="B425" t="str">
            <v>Dancow 5 + 400 GR</v>
          </cell>
          <cell r="C425">
            <v>24</v>
          </cell>
          <cell r="D425" t="str">
            <v>ktk</v>
          </cell>
          <cell r="E425">
            <v>1100377</v>
          </cell>
          <cell r="G425">
            <v>45849.041666666664</v>
          </cell>
          <cell r="H425">
            <v>48500</v>
          </cell>
          <cell r="I425" t="str">
            <v>ktk</v>
          </cell>
          <cell r="J425">
            <v>48500</v>
          </cell>
          <cell r="K425" t="str">
            <v>ktk</v>
          </cell>
          <cell r="L425">
            <v>48000</v>
          </cell>
          <cell r="M425" t="str">
            <v>ktk</v>
          </cell>
        </row>
        <row r="426">
          <cell r="A426" t="str">
            <v>DAN5800</v>
          </cell>
          <cell r="B426" t="str">
            <v>Dancow 5 + 800 GR MADU/VANILA</v>
          </cell>
          <cell r="C426">
            <v>12</v>
          </cell>
          <cell r="D426" t="str">
            <v>ktk</v>
          </cell>
          <cell r="E426">
            <v>1040377</v>
          </cell>
          <cell r="G426">
            <v>86698.083333333328</v>
          </cell>
          <cell r="H426">
            <v>89000</v>
          </cell>
          <cell r="I426" t="str">
            <v>ktk</v>
          </cell>
          <cell r="J426">
            <v>88500</v>
          </cell>
          <cell r="K426" t="str">
            <v>ktk</v>
          </cell>
          <cell r="L426">
            <v>88000</v>
          </cell>
          <cell r="M426" t="str">
            <v>ktk</v>
          </cell>
        </row>
        <row r="427">
          <cell r="A427" t="str">
            <v>DAN110</v>
          </cell>
          <cell r="B427" t="str">
            <v>Dancow Cair 110 ml</v>
          </cell>
          <cell r="C427">
            <v>36</v>
          </cell>
          <cell r="D427" t="str">
            <v>pcs</v>
          </cell>
          <cell r="E427">
            <v>85091</v>
          </cell>
          <cell r="F427">
            <v>28363.666666666664</v>
          </cell>
          <cell r="G427">
            <v>2363.6388888888887</v>
          </cell>
          <cell r="H427">
            <v>3000</v>
          </cell>
          <cell r="I427" t="str">
            <v>pc</v>
          </cell>
          <cell r="J427">
            <v>3000</v>
          </cell>
          <cell r="K427" t="str">
            <v>pc</v>
          </cell>
          <cell r="L427">
            <v>2700</v>
          </cell>
          <cell r="M427" t="str">
            <v>pc</v>
          </cell>
          <cell r="T427">
            <v>31000</v>
          </cell>
          <cell r="U427">
            <v>12</v>
          </cell>
          <cell r="V427" t="str">
            <v>lsn</v>
          </cell>
          <cell r="W427">
            <v>2500</v>
          </cell>
          <cell r="X427" t="str">
            <v>pc</v>
          </cell>
          <cell r="Y427">
            <v>2600</v>
          </cell>
          <cell r="Z427" t="str">
            <v>pc</v>
          </cell>
          <cell r="AA427">
            <v>89000</v>
          </cell>
          <cell r="AB427" t="str">
            <v>dos</v>
          </cell>
        </row>
        <row r="428">
          <cell r="A428" t="str">
            <v>DAN180</v>
          </cell>
          <cell r="B428" t="str">
            <v>Dancow Cair 180 ml</v>
          </cell>
          <cell r="C428">
            <v>36</v>
          </cell>
          <cell r="D428" t="str">
            <v>pcs</v>
          </cell>
          <cell r="E428">
            <v>148000</v>
          </cell>
          <cell r="F428">
            <v>49333.333333333336</v>
          </cell>
          <cell r="G428">
            <v>4111.1111111111113</v>
          </cell>
          <cell r="H428">
            <v>5000</v>
          </cell>
          <cell r="I428" t="str">
            <v>pc</v>
          </cell>
          <cell r="J428">
            <v>5000</v>
          </cell>
          <cell r="K428" t="str">
            <v>pc</v>
          </cell>
          <cell r="L428">
            <v>4500</v>
          </cell>
          <cell r="M428" t="str">
            <v>pc</v>
          </cell>
          <cell r="T428">
            <v>53000</v>
          </cell>
          <cell r="U428">
            <v>12</v>
          </cell>
          <cell r="V428" t="str">
            <v>lsn</v>
          </cell>
          <cell r="X428" t="str">
            <v>pc</v>
          </cell>
          <cell r="Z428" t="str">
            <v>pc</v>
          </cell>
        </row>
        <row r="429">
          <cell r="A429" t="str">
            <v>DANC400</v>
          </cell>
          <cell r="B429" t="str">
            <v>Dancow COKLAT  400 GR</v>
          </cell>
          <cell r="C429">
            <v>24</v>
          </cell>
          <cell r="D429" t="str">
            <v>ktk</v>
          </cell>
          <cell r="E429">
            <v>926041</v>
          </cell>
          <cell r="G429">
            <v>38585.041666666664</v>
          </cell>
          <cell r="H429">
            <v>41000</v>
          </cell>
          <cell r="I429" t="str">
            <v>pc</v>
          </cell>
          <cell r="J429">
            <v>41000</v>
          </cell>
          <cell r="K429" t="str">
            <v>pc</v>
          </cell>
          <cell r="L429">
            <v>40000</v>
          </cell>
          <cell r="M429" t="str">
            <v>PC</v>
          </cell>
        </row>
        <row r="430">
          <cell r="A430" t="str">
            <v>DANC1</v>
          </cell>
          <cell r="B430" t="str">
            <v>Dancow Coklat Instan Enric rtg 27 gr/Zee</v>
          </cell>
          <cell r="C430">
            <v>10</v>
          </cell>
          <cell r="D430" t="str">
            <v>rtg</v>
          </cell>
          <cell r="E430">
            <v>29568.75</v>
          </cell>
          <cell r="F430">
            <v>473100</v>
          </cell>
          <cell r="G430">
            <v>2956.875</v>
          </cell>
          <cell r="H430">
            <v>3500</v>
          </cell>
          <cell r="I430" t="str">
            <v>pc</v>
          </cell>
          <cell r="J430">
            <v>3500</v>
          </cell>
          <cell r="K430" t="str">
            <v>pc</v>
          </cell>
          <cell r="L430">
            <v>3000</v>
          </cell>
          <cell r="M430" t="str">
            <v>pc</v>
          </cell>
          <cell r="N430">
            <v>31000</v>
          </cell>
          <cell r="O430">
            <v>10</v>
          </cell>
          <cell r="P430" t="str">
            <v>rtg</v>
          </cell>
          <cell r="AA430">
            <v>462000</v>
          </cell>
          <cell r="AB430" t="str">
            <v>dos</v>
          </cell>
        </row>
        <row r="431">
          <cell r="A431" t="str">
            <v>DANC800</v>
          </cell>
          <cell r="B431" t="str">
            <v>Dancow Instant Coklat 800 gr</v>
          </cell>
          <cell r="C431">
            <v>12</v>
          </cell>
          <cell r="D431" t="str">
            <v>pcs</v>
          </cell>
          <cell r="E431">
            <v>888680</v>
          </cell>
          <cell r="G431">
            <v>74056.666666666672</v>
          </cell>
          <cell r="H431">
            <v>77000</v>
          </cell>
          <cell r="I431" t="str">
            <v>pc</v>
          </cell>
          <cell r="J431">
            <v>77000</v>
          </cell>
          <cell r="K431" t="str">
            <v>pc</v>
          </cell>
          <cell r="L431">
            <v>76500</v>
          </cell>
          <cell r="M431" t="str">
            <v>pc</v>
          </cell>
        </row>
        <row r="432">
          <cell r="A432" t="str">
            <v>DANP800</v>
          </cell>
          <cell r="B432" t="str">
            <v>Dancow Instant putih 800 gr</v>
          </cell>
          <cell r="C432">
            <v>12</v>
          </cell>
          <cell r="D432" t="str">
            <v>pcs</v>
          </cell>
          <cell r="E432">
            <v>946420</v>
          </cell>
          <cell r="G432">
            <v>78868.333333333328</v>
          </cell>
          <cell r="H432">
            <v>81000</v>
          </cell>
          <cell r="I432" t="str">
            <v>pc</v>
          </cell>
          <cell r="J432">
            <v>81000</v>
          </cell>
          <cell r="K432" t="str">
            <v>pc</v>
          </cell>
        </row>
        <row r="433">
          <cell r="A433" t="str">
            <v>DANP400</v>
          </cell>
          <cell r="B433" t="str">
            <v>Dancow PUTIH  400 GR</v>
          </cell>
          <cell r="C433">
            <v>24</v>
          </cell>
          <cell r="D433" t="str">
            <v>ktk</v>
          </cell>
          <cell r="E433">
            <v>1007561</v>
          </cell>
          <cell r="G433">
            <v>41981.708333333336</v>
          </cell>
          <cell r="H433">
            <v>45000</v>
          </cell>
          <cell r="I433" t="str">
            <v>pc</v>
          </cell>
          <cell r="J433">
            <v>44500</v>
          </cell>
          <cell r="K433" t="str">
            <v>pc</v>
          </cell>
          <cell r="L433">
            <v>44000</v>
          </cell>
          <cell r="M433" t="str">
            <v>pc</v>
          </cell>
        </row>
        <row r="434">
          <cell r="A434" t="str">
            <v>DANP1</v>
          </cell>
          <cell r="B434" t="str">
            <v>Dancow Putih Instan Enric rtg 27 gr/Zee</v>
          </cell>
          <cell r="C434">
            <v>10</v>
          </cell>
          <cell r="D434" t="str">
            <v>rtg</v>
          </cell>
          <cell r="E434">
            <v>29565</v>
          </cell>
          <cell r="F434">
            <v>473040</v>
          </cell>
          <cell r="G434">
            <v>2956.5</v>
          </cell>
          <cell r="H434">
            <v>3500</v>
          </cell>
          <cell r="I434" t="str">
            <v>pc</v>
          </cell>
          <cell r="J434">
            <v>3500</v>
          </cell>
          <cell r="K434" t="str">
            <v>pc</v>
          </cell>
          <cell r="L434">
            <v>3200</v>
          </cell>
          <cell r="M434" t="str">
            <v>pc</v>
          </cell>
          <cell r="N434">
            <v>31000</v>
          </cell>
          <cell r="O434">
            <v>10</v>
          </cell>
          <cell r="P434" t="str">
            <v>rtg</v>
          </cell>
        </row>
        <row r="435">
          <cell r="A435" t="str">
            <v>ZEE</v>
          </cell>
          <cell r="B435" t="str">
            <v>SUSU ZEE Renteng</v>
          </cell>
          <cell r="C435">
            <v>10</v>
          </cell>
          <cell r="D435" t="str">
            <v>rtg</v>
          </cell>
          <cell r="E435">
            <v>26500</v>
          </cell>
          <cell r="F435">
            <v>106000</v>
          </cell>
          <cell r="G435">
            <v>2650</v>
          </cell>
          <cell r="H435">
            <v>3000</v>
          </cell>
          <cell r="I435" t="str">
            <v>pc</v>
          </cell>
          <cell r="J435">
            <v>3000</v>
          </cell>
          <cell r="K435" t="str">
            <v>pc</v>
          </cell>
          <cell r="L435">
            <v>3000</v>
          </cell>
          <cell r="M435" t="str">
            <v>pc</v>
          </cell>
          <cell r="N435">
            <v>29000</v>
          </cell>
          <cell r="O435">
            <v>10</v>
          </cell>
          <cell r="P435" t="str">
            <v>rtg</v>
          </cell>
        </row>
        <row r="436">
          <cell r="A436" t="str">
            <v>ZEE200</v>
          </cell>
          <cell r="B436" t="str">
            <v>SUSU ZEE 200 ml</v>
          </cell>
          <cell r="C436">
            <v>24</v>
          </cell>
          <cell r="D436" t="str">
            <v>pcs</v>
          </cell>
          <cell r="E436">
            <v>101000</v>
          </cell>
          <cell r="F436">
            <v>50500</v>
          </cell>
          <cell r="G436">
            <v>4208.333333333333</v>
          </cell>
          <cell r="H436">
            <v>5000</v>
          </cell>
          <cell r="I436" t="str">
            <v>pc</v>
          </cell>
          <cell r="J436">
            <v>5000</v>
          </cell>
          <cell r="K436" t="str">
            <v>pc</v>
          </cell>
          <cell r="L436">
            <v>4600</v>
          </cell>
          <cell r="M436" t="str">
            <v>pc</v>
          </cell>
          <cell r="T436">
            <v>53000</v>
          </cell>
          <cell r="Y436">
            <v>4416.666666666667</v>
          </cell>
          <cell r="Z436" t="str">
            <v>pc</v>
          </cell>
        </row>
        <row r="437">
          <cell r="A437" t="str">
            <v>ANLENE</v>
          </cell>
          <cell r="B437" t="str">
            <v>SUSU ANLENE Renteng</v>
          </cell>
          <cell r="C437">
            <v>10</v>
          </cell>
          <cell r="D437" t="str">
            <v>rtg</v>
          </cell>
          <cell r="E437">
            <v>28000</v>
          </cell>
          <cell r="F437">
            <v>122500</v>
          </cell>
          <cell r="G437">
            <v>2800</v>
          </cell>
          <cell r="H437">
            <v>3500</v>
          </cell>
          <cell r="I437" t="str">
            <v>pc</v>
          </cell>
          <cell r="J437">
            <v>3500</v>
          </cell>
          <cell r="K437" t="str">
            <v>pc</v>
          </cell>
          <cell r="L437">
            <v>3500</v>
          </cell>
          <cell r="M437" t="str">
            <v>pc</v>
          </cell>
          <cell r="N437">
            <v>30000</v>
          </cell>
          <cell r="O437">
            <v>10</v>
          </cell>
          <cell r="P437" t="str">
            <v>rtg</v>
          </cell>
        </row>
        <row r="438">
          <cell r="A438" t="str">
            <v>DATITA1000</v>
          </cell>
          <cell r="B438" t="str">
            <v>DATITA 1000 GR</v>
          </cell>
          <cell r="C438">
            <v>12</v>
          </cell>
          <cell r="D438" t="str">
            <v>ktk</v>
          </cell>
          <cell r="E438">
            <v>957736</v>
          </cell>
          <cell r="G438">
            <v>79811.333333333328</v>
          </cell>
          <cell r="H438">
            <v>82500</v>
          </cell>
          <cell r="I438" t="str">
            <v>ktk</v>
          </cell>
          <cell r="J438">
            <v>82500</v>
          </cell>
          <cell r="K438" t="str">
            <v>ktk</v>
          </cell>
          <cell r="L438">
            <v>82000</v>
          </cell>
          <cell r="M438" t="str">
            <v>ktk</v>
          </cell>
          <cell r="AA438">
            <v>940000</v>
          </cell>
          <cell r="AB438" t="str">
            <v>dos</v>
          </cell>
        </row>
        <row r="439">
          <cell r="A439" t="str">
            <v>DATITA400</v>
          </cell>
          <cell r="B439" t="str">
            <v>DATITA 400 GR</v>
          </cell>
          <cell r="C439">
            <v>24</v>
          </cell>
          <cell r="D439" t="str">
            <v>ktk</v>
          </cell>
          <cell r="E439">
            <v>722264</v>
          </cell>
          <cell r="G439">
            <v>30094.333333333332</v>
          </cell>
          <cell r="H439">
            <v>33000</v>
          </cell>
          <cell r="I439" t="str">
            <v>ktk</v>
          </cell>
          <cell r="J439">
            <v>32500</v>
          </cell>
          <cell r="K439" t="str">
            <v>ktk</v>
          </cell>
        </row>
        <row r="440">
          <cell r="A440" t="str">
            <v>DETTOL200B</v>
          </cell>
          <cell r="B440" t="str">
            <v>Dettol HAND SANITIZAER 200 ml PUMP</v>
          </cell>
          <cell r="C440">
            <v>24</v>
          </cell>
          <cell r="D440" t="str">
            <v>pcs</v>
          </cell>
          <cell r="E440">
            <v>831569</v>
          </cell>
          <cell r="F440">
            <v>415784.5</v>
          </cell>
          <cell r="G440">
            <v>34648.708333333336</v>
          </cell>
          <cell r="H440">
            <v>36000</v>
          </cell>
          <cell r="I440" t="str">
            <v>pc</v>
          </cell>
          <cell r="J440">
            <v>35500</v>
          </cell>
          <cell r="K440" t="str">
            <v>pc</v>
          </cell>
          <cell r="L440">
            <v>35000</v>
          </cell>
          <cell r="M440" t="str">
            <v>pc</v>
          </cell>
          <cell r="T440">
            <v>419500</v>
          </cell>
          <cell r="U440">
            <v>12</v>
          </cell>
          <cell r="V440" t="str">
            <v>lsn</v>
          </cell>
          <cell r="W440">
            <v>34900</v>
          </cell>
          <cell r="X440" t="str">
            <v>pcs</v>
          </cell>
          <cell r="Y440">
            <v>34958.333333333336</v>
          </cell>
          <cell r="Z440" t="str">
            <v>pcs</v>
          </cell>
        </row>
        <row r="441">
          <cell r="A441" t="str">
            <v>DETTOL50</v>
          </cell>
          <cell r="B441" t="str">
            <v>Dettol Instan Hand Sanitizer 50 ml</v>
          </cell>
          <cell r="C441">
            <v>48</v>
          </cell>
          <cell r="D441" t="str">
            <v>btl</v>
          </cell>
          <cell r="E441">
            <v>500946</v>
          </cell>
          <cell r="F441">
            <v>125236.5</v>
          </cell>
          <cell r="G441">
            <v>10436.375</v>
          </cell>
          <cell r="H441">
            <v>11500</v>
          </cell>
          <cell r="I441" t="str">
            <v>btl</v>
          </cell>
          <cell r="J441">
            <v>11300</v>
          </cell>
          <cell r="K441" t="str">
            <v>btl</v>
          </cell>
          <cell r="L441">
            <v>11500</v>
          </cell>
          <cell r="M441" t="str">
            <v>btl</v>
          </cell>
          <cell r="T441">
            <v>128000</v>
          </cell>
          <cell r="U441">
            <v>12</v>
          </cell>
          <cell r="V441" t="str">
            <v>lsn</v>
          </cell>
          <cell r="W441">
            <v>10600</v>
          </cell>
          <cell r="X441" t="str">
            <v>pcs</v>
          </cell>
          <cell r="Y441">
            <v>10666.666666666666</v>
          </cell>
          <cell r="Z441" t="str">
            <v>pcs</v>
          </cell>
        </row>
        <row r="442">
          <cell r="A442" t="str">
            <v>DETTOL105</v>
          </cell>
          <cell r="B442" t="str">
            <v>Dettol Sabun Batang 105 gr</v>
          </cell>
          <cell r="C442">
            <v>144</v>
          </cell>
          <cell r="D442" t="str">
            <v>pcs</v>
          </cell>
          <cell r="E442">
            <v>725012</v>
          </cell>
          <cell r="F442">
            <v>60417.666666666672</v>
          </cell>
          <cell r="G442">
            <v>5034.8055555555557</v>
          </cell>
          <cell r="H442">
            <v>6000</v>
          </cell>
          <cell r="I442" t="str">
            <v>pc</v>
          </cell>
          <cell r="J442">
            <v>5500</v>
          </cell>
          <cell r="K442" t="str">
            <v>pc</v>
          </cell>
          <cell r="L442">
            <v>5300</v>
          </cell>
          <cell r="M442" t="str">
            <v>pc</v>
          </cell>
          <cell r="T442">
            <v>61000</v>
          </cell>
          <cell r="U442">
            <v>12</v>
          </cell>
          <cell r="V442" t="str">
            <v>lsn</v>
          </cell>
          <cell r="W442">
            <v>5000</v>
          </cell>
          <cell r="X442" t="str">
            <v>pcs</v>
          </cell>
          <cell r="Y442">
            <v>5083.333333333333</v>
          </cell>
          <cell r="Z442" t="str">
            <v>pcs</v>
          </cell>
        </row>
        <row r="443">
          <cell r="A443" t="str">
            <v>DETTOL65</v>
          </cell>
          <cell r="B443" t="str">
            <v>Dettol Sabun Batang 65 gr</v>
          </cell>
          <cell r="C443">
            <v>144</v>
          </cell>
          <cell r="D443" t="str">
            <v>pcs</v>
          </cell>
          <cell r="E443">
            <v>461933</v>
          </cell>
          <cell r="F443">
            <v>38494.416666666672</v>
          </cell>
          <cell r="G443">
            <v>3207.8680555555557</v>
          </cell>
          <cell r="H443">
            <v>4000</v>
          </cell>
          <cell r="I443" t="str">
            <v>pc</v>
          </cell>
          <cell r="J443">
            <v>4000</v>
          </cell>
          <cell r="K443" t="str">
            <v>pc</v>
          </cell>
          <cell r="L443">
            <v>3700</v>
          </cell>
          <cell r="M443" t="str">
            <v>pc</v>
          </cell>
          <cell r="T443">
            <v>41000</v>
          </cell>
          <cell r="U443">
            <v>12</v>
          </cell>
          <cell r="V443" t="str">
            <v>lsn</v>
          </cell>
          <cell r="W443">
            <v>3500</v>
          </cell>
          <cell r="X443" t="str">
            <v>pcs</v>
          </cell>
          <cell r="Y443">
            <v>3600</v>
          </cell>
          <cell r="Z443" t="str">
            <v>pcs</v>
          </cell>
        </row>
        <row r="444">
          <cell r="A444" t="str">
            <v>DETTOL250R</v>
          </cell>
          <cell r="B444" t="str">
            <v>Dettol Sabun Cair 250 ml refill</v>
          </cell>
          <cell r="C444">
            <v>24</v>
          </cell>
          <cell r="D444" t="str">
            <v>pcs</v>
          </cell>
          <cell r="E444">
            <v>379779</v>
          </cell>
          <cell r="F444">
            <v>189889.5</v>
          </cell>
          <cell r="G444">
            <v>15824.125</v>
          </cell>
          <cell r="H444">
            <v>18000</v>
          </cell>
          <cell r="I444" t="str">
            <v>pc</v>
          </cell>
          <cell r="J444">
            <v>17500</v>
          </cell>
          <cell r="K444" t="str">
            <v>pc</v>
          </cell>
        </row>
        <row r="445">
          <cell r="A445" t="str">
            <v>DETTOL300</v>
          </cell>
          <cell r="B445" t="str">
            <v>Dettol Sabun Cair 300 ml Botol</v>
          </cell>
          <cell r="C445">
            <v>12</v>
          </cell>
          <cell r="D445" t="str">
            <v>pcs</v>
          </cell>
          <cell r="E445">
            <v>238105</v>
          </cell>
          <cell r="F445">
            <v>238105</v>
          </cell>
          <cell r="G445">
            <v>19842.083333333332</v>
          </cell>
          <cell r="H445">
            <v>21000</v>
          </cell>
          <cell r="I445" t="str">
            <v>pc</v>
          </cell>
          <cell r="J445">
            <v>20500</v>
          </cell>
          <cell r="K445" t="str">
            <v>pc</v>
          </cell>
          <cell r="L445">
            <v>20200</v>
          </cell>
          <cell r="M445" t="str">
            <v>pc</v>
          </cell>
          <cell r="T445">
            <v>241000</v>
          </cell>
          <cell r="U445">
            <v>12</v>
          </cell>
          <cell r="V445" t="str">
            <v>lsn</v>
          </cell>
          <cell r="W445">
            <v>20000</v>
          </cell>
          <cell r="X445" t="str">
            <v>pcs</v>
          </cell>
          <cell r="Y445">
            <v>20083.333333333332</v>
          </cell>
          <cell r="Z445" t="str">
            <v>pcs</v>
          </cell>
        </row>
        <row r="446">
          <cell r="A446" t="str">
            <v>DETTOL410R</v>
          </cell>
          <cell r="B446" t="str">
            <v>Dettol Sabun Cair 410 ml refill</v>
          </cell>
          <cell r="C446">
            <v>24</v>
          </cell>
          <cell r="D446" t="str">
            <v>pcs</v>
          </cell>
          <cell r="E446">
            <v>674169</v>
          </cell>
          <cell r="F446">
            <v>337084.5</v>
          </cell>
          <cell r="G446">
            <v>28090.375</v>
          </cell>
          <cell r="H446">
            <v>30000</v>
          </cell>
          <cell r="I446" t="str">
            <v>pc</v>
          </cell>
          <cell r="J446">
            <v>29500</v>
          </cell>
          <cell r="K446" t="str">
            <v>pc</v>
          </cell>
        </row>
        <row r="447">
          <cell r="A447" t="str">
            <v>DETTOL625</v>
          </cell>
          <cell r="B447" t="str">
            <v>Dettol Sabun Cair 625 ml PUMP</v>
          </cell>
          <cell r="C447">
            <v>12</v>
          </cell>
          <cell r="D447" t="str">
            <v>pcs</v>
          </cell>
          <cell r="E447">
            <v>527233</v>
          </cell>
          <cell r="F447">
            <v>527233</v>
          </cell>
          <cell r="G447">
            <v>43936.083333333336</v>
          </cell>
          <cell r="H447">
            <v>45000</v>
          </cell>
          <cell r="I447" t="str">
            <v>pc</v>
          </cell>
          <cell r="J447">
            <v>44600</v>
          </cell>
          <cell r="K447" t="str">
            <v>pc</v>
          </cell>
          <cell r="L447">
            <v>44200</v>
          </cell>
          <cell r="M447" t="str">
            <v>pc</v>
          </cell>
          <cell r="T447">
            <v>530000</v>
          </cell>
          <cell r="U447">
            <v>12</v>
          </cell>
          <cell r="V447" t="str">
            <v>lsn</v>
          </cell>
          <cell r="W447">
            <v>44000</v>
          </cell>
          <cell r="X447" t="str">
            <v>pcs</v>
          </cell>
          <cell r="Y447">
            <v>44166.666666666664</v>
          </cell>
          <cell r="Z447" t="str">
            <v>pcs</v>
          </cell>
        </row>
        <row r="448">
          <cell r="A448" t="str">
            <v>DETTOL250B</v>
          </cell>
          <cell r="B448" t="str">
            <v>Dettol Sabun Cuci Tangan 250 ml PUMP</v>
          </cell>
          <cell r="C448">
            <v>12</v>
          </cell>
          <cell r="D448" t="str">
            <v>pcs</v>
          </cell>
          <cell r="E448">
            <v>215690</v>
          </cell>
          <cell r="F448">
            <v>215690</v>
          </cell>
          <cell r="G448">
            <v>17974.166666666668</v>
          </cell>
          <cell r="H448">
            <v>19500</v>
          </cell>
          <cell r="I448" t="str">
            <v>pc</v>
          </cell>
          <cell r="J448">
            <v>19000</v>
          </cell>
          <cell r="K448" t="str">
            <v>pc</v>
          </cell>
          <cell r="L448">
            <v>18300</v>
          </cell>
          <cell r="M448" t="str">
            <v>pc</v>
          </cell>
          <cell r="T448">
            <v>218500</v>
          </cell>
          <cell r="U448">
            <v>12</v>
          </cell>
          <cell r="V448" t="str">
            <v>lsn</v>
          </cell>
          <cell r="W448">
            <v>18200</v>
          </cell>
          <cell r="X448" t="str">
            <v>pcs</v>
          </cell>
          <cell r="Y448">
            <v>18208.333333333332</v>
          </cell>
          <cell r="Z448" t="str">
            <v>pcs</v>
          </cell>
        </row>
        <row r="449">
          <cell r="A449" t="str">
            <v>DETTOL750</v>
          </cell>
          <cell r="B449" t="str">
            <v>Dettol Antiseptic 750 ml</v>
          </cell>
          <cell r="C449">
            <v>12</v>
          </cell>
          <cell r="D449" t="str">
            <v>pcs</v>
          </cell>
          <cell r="E449">
            <v>784699</v>
          </cell>
          <cell r="F449">
            <v>784699</v>
          </cell>
          <cell r="G449">
            <v>65391.583333333336</v>
          </cell>
          <cell r="H449">
            <v>69000</v>
          </cell>
          <cell r="I449" t="str">
            <v>pc</v>
          </cell>
          <cell r="J449">
            <v>68500</v>
          </cell>
          <cell r="K449" t="str">
            <v>pc</v>
          </cell>
          <cell r="L449">
            <v>68000</v>
          </cell>
          <cell r="M449" t="str">
            <v>pc</v>
          </cell>
        </row>
        <row r="450">
          <cell r="A450" t="str">
            <v>DDEO70</v>
          </cell>
          <cell r="B450" t="str">
            <v>Dove Deo 70 ml</v>
          </cell>
          <cell r="C450">
            <v>3</v>
          </cell>
          <cell r="D450" t="str">
            <v>pcs</v>
          </cell>
          <cell r="E450">
            <v>49500</v>
          </cell>
          <cell r="F450">
            <v>198000</v>
          </cell>
          <cell r="G450">
            <v>16500</v>
          </cell>
          <cell r="H450">
            <v>18000</v>
          </cell>
          <cell r="I450" t="str">
            <v>pc</v>
          </cell>
          <cell r="J450">
            <v>18000</v>
          </cell>
          <cell r="K450" t="str">
            <v>pc</v>
          </cell>
          <cell r="L450">
            <v>17500</v>
          </cell>
          <cell r="M450" t="str">
            <v>pc</v>
          </cell>
        </row>
        <row r="451">
          <cell r="A451" t="str">
            <v>DDEO169</v>
          </cell>
          <cell r="B451" t="str">
            <v>Dove Deo 169 ml</v>
          </cell>
          <cell r="C451">
            <v>3</v>
          </cell>
          <cell r="D451" t="str">
            <v>pcs</v>
          </cell>
          <cell r="E451">
            <v>49500</v>
          </cell>
          <cell r="F451">
            <v>198000</v>
          </cell>
          <cell r="G451">
            <v>16500</v>
          </cell>
          <cell r="H451">
            <v>18000</v>
          </cell>
          <cell r="I451" t="str">
            <v>pc</v>
          </cell>
          <cell r="J451">
            <v>18000</v>
          </cell>
          <cell r="K451" t="str">
            <v>pc</v>
          </cell>
          <cell r="L451">
            <v>17500</v>
          </cell>
          <cell r="M451" t="str">
            <v>pc</v>
          </cell>
        </row>
        <row r="452">
          <cell r="A452" t="str">
            <v>DOVE40</v>
          </cell>
          <cell r="B452" t="str">
            <v>Dove Roll On 40 ml</v>
          </cell>
          <cell r="C452">
            <v>24</v>
          </cell>
          <cell r="D452" t="str">
            <v>pcs</v>
          </cell>
          <cell r="E452">
            <v>385200</v>
          </cell>
          <cell r="F452">
            <v>192600</v>
          </cell>
          <cell r="G452">
            <v>16050</v>
          </cell>
          <cell r="H452">
            <v>17500</v>
          </cell>
          <cell r="I452" t="str">
            <v>pc</v>
          </cell>
          <cell r="J452">
            <v>17000</v>
          </cell>
          <cell r="K452" t="str">
            <v>pc</v>
          </cell>
        </row>
        <row r="453">
          <cell r="A453" t="str">
            <v>DOVEBT50</v>
          </cell>
          <cell r="B453" t="str">
            <v>Dove Sabun batang 50 g B</v>
          </cell>
          <cell r="C453">
            <v>72</v>
          </cell>
          <cell r="D453" t="str">
            <v>pcs</v>
          </cell>
          <cell r="E453">
            <v>230400</v>
          </cell>
          <cell r="F453">
            <v>38400</v>
          </cell>
          <cell r="G453">
            <v>3200</v>
          </cell>
          <cell r="H453">
            <v>4500</v>
          </cell>
          <cell r="I453" t="str">
            <v>pc</v>
          </cell>
          <cell r="J453">
            <v>4000</v>
          </cell>
          <cell r="K453" t="str">
            <v>pc</v>
          </cell>
          <cell r="L453">
            <v>3700</v>
          </cell>
          <cell r="M453" t="str">
            <v>pc</v>
          </cell>
          <cell r="T453">
            <v>41000</v>
          </cell>
          <cell r="U453">
            <v>12</v>
          </cell>
          <cell r="V453" t="str">
            <v>lsn</v>
          </cell>
          <cell r="W453">
            <v>3400</v>
          </cell>
          <cell r="X453" t="str">
            <v>pc</v>
          </cell>
          <cell r="Y453">
            <v>3416.6666666666665</v>
          </cell>
          <cell r="Z453" t="str">
            <v>pc</v>
          </cell>
        </row>
        <row r="454">
          <cell r="A454" t="str">
            <v>DOVE70</v>
          </cell>
          <cell r="B454" t="str">
            <v>Dove Sampo &amp; Condioner  70 ml btl</v>
          </cell>
          <cell r="C454">
            <v>48</v>
          </cell>
          <cell r="D454" t="str">
            <v>btl</v>
          </cell>
          <cell r="E454">
            <v>446400</v>
          </cell>
          <cell r="F454">
            <v>111600</v>
          </cell>
          <cell r="G454">
            <v>9300</v>
          </cell>
          <cell r="H454">
            <v>11000</v>
          </cell>
          <cell r="I454" t="str">
            <v>btl</v>
          </cell>
          <cell r="J454">
            <v>10500</v>
          </cell>
          <cell r="K454" t="str">
            <v>btl</v>
          </cell>
          <cell r="L454">
            <v>9700</v>
          </cell>
          <cell r="M454" t="str">
            <v>btl</v>
          </cell>
          <cell r="T454">
            <v>114000</v>
          </cell>
          <cell r="U454">
            <v>12</v>
          </cell>
          <cell r="V454" t="str">
            <v>lsn</v>
          </cell>
          <cell r="W454">
            <v>9450</v>
          </cell>
          <cell r="X454" t="str">
            <v>btl</v>
          </cell>
          <cell r="Y454">
            <v>9500</v>
          </cell>
          <cell r="Z454" t="str">
            <v>btl</v>
          </cell>
        </row>
        <row r="455">
          <cell r="A455" t="str">
            <v>DOVE160</v>
          </cell>
          <cell r="B455" t="str">
            <v>Dove Sampo &amp; Condioner 160 ml btl</v>
          </cell>
          <cell r="C455">
            <v>24</v>
          </cell>
          <cell r="D455" t="str">
            <v>btl</v>
          </cell>
          <cell r="E455">
            <v>502800</v>
          </cell>
          <cell r="F455">
            <v>251400</v>
          </cell>
          <cell r="G455">
            <v>20950</v>
          </cell>
          <cell r="H455">
            <v>23000</v>
          </cell>
          <cell r="I455" t="str">
            <v>btl</v>
          </cell>
          <cell r="J455">
            <v>23000</v>
          </cell>
          <cell r="K455" t="str">
            <v>btl</v>
          </cell>
          <cell r="L455">
            <v>22500</v>
          </cell>
          <cell r="M455" t="str">
            <v>btl</v>
          </cell>
        </row>
        <row r="456">
          <cell r="A456" t="str">
            <v>DOVE320</v>
          </cell>
          <cell r="B456" t="str">
            <v>Dove Sampo &amp; Condioner 320 ml btl</v>
          </cell>
          <cell r="C456">
            <v>12</v>
          </cell>
          <cell r="D456" t="str">
            <v>btl</v>
          </cell>
          <cell r="E456">
            <v>364800</v>
          </cell>
          <cell r="F456">
            <v>91050</v>
          </cell>
          <cell r="G456">
            <v>30400</v>
          </cell>
        </row>
        <row r="457">
          <cell r="A457" t="str">
            <v>DOVE1</v>
          </cell>
          <cell r="B457" t="str">
            <v>Dove Sampo rtg 11 ml</v>
          </cell>
          <cell r="C457">
            <v>12</v>
          </cell>
          <cell r="D457" t="str">
            <v>rtg</v>
          </cell>
          <cell r="E457">
            <v>9300</v>
          </cell>
          <cell r="F457">
            <v>372000</v>
          </cell>
          <cell r="G457">
            <v>775</v>
          </cell>
          <cell r="N457">
            <v>11000</v>
          </cell>
          <cell r="O457">
            <v>12</v>
          </cell>
          <cell r="P457" t="str">
            <v>rtg</v>
          </cell>
        </row>
        <row r="458">
          <cell r="A458" t="str">
            <v>DOVER</v>
          </cell>
          <cell r="B458" t="str">
            <v>Dove DEODORAN rtg</v>
          </cell>
          <cell r="C458">
            <v>12</v>
          </cell>
          <cell r="D458" t="str">
            <v>rtg</v>
          </cell>
          <cell r="E458">
            <v>24000</v>
          </cell>
          <cell r="F458">
            <v>288000</v>
          </cell>
          <cell r="G458">
            <v>2000</v>
          </cell>
          <cell r="H458">
            <v>2500</v>
          </cell>
          <cell r="I458" t="str">
            <v>pc</v>
          </cell>
          <cell r="J458">
            <v>2500</v>
          </cell>
          <cell r="K458" t="str">
            <v>pc</v>
          </cell>
          <cell r="L458">
            <v>2300</v>
          </cell>
          <cell r="M458" t="str">
            <v>pc</v>
          </cell>
          <cell r="N458">
            <v>26500</v>
          </cell>
          <cell r="O458">
            <v>12</v>
          </cell>
          <cell r="P458" t="str">
            <v>rtg</v>
          </cell>
        </row>
        <row r="459">
          <cell r="A459" t="str">
            <v>DOWNY22</v>
          </cell>
          <cell r="B459" t="str">
            <v>Downy pewangi 22 ml rtg</v>
          </cell>
          <cell r="C459">
            <v>6</v>
          </cell>
          <cell r="D459" t="str">
            <v>rtg</v>
          </cell>
          <cell r="E459">
            <v>4800</v>
          </cell>
          <cell r="F459">
            <v>288000</v>
          </cell>
          <cell r="G459">
            <v>800</v>
          </cell>
          <cell r="N459">
            <v>6000</v>
          </cell>
          <cell r="O459">
            <v>6</v>
          </cell>
          <cell r="P459" t="str">
            <v>rtg</v>
          </cell>
        </row>
        <row r="460">
          <cell r="A460" t="str">
            <v>DOWNY14</v>
          </cell>
          <cell r="B460" t="str">
            <v>Downy pewangi 14 ml rtg</v>
          </cell>
          <cell r="C460">
            <v>12</v>
          </cell>
          <cell r="D460" t="str">
            <v>rtg</v>
          </cell>
          <cell r="E460">
            <v>4800</v>
          </cell>
          <cell r="F460">
            <v>288000</v>
          </cell>
          <cell r="G460">
            <v>400</v>
          </cell>
          <cell r="N460">
            <v>6000</v>
          </cell>
          <cell r="O460">
            <v>6</v>
          </cell>
          <cell r="P460" t="str">
            <v>rtg</v>
          </cell>
        </row>
        <row r="461">
          <cell r="A461" t="str">
            <v>DOWNY900</v>
          </cell>
          <cell r="B461" t="str">
            <v>Downy pewangi 900 ML REFF</v>
          </cell>
          <cell r="C461">
            <v>6</v>
          </cell>
          <cell r="D461" t="str">
            <v>pcs</v>
          </cell>
          <cell r="E461">
            <v>159000</v>
          </cell>
          <cell r="G461">
            <v>26500</v>
          </cell>
          <cell r="H461">
            <v>28500</v>
          </cell>
          <cell r="I461" t="str">
            <v>pc</v>
          </cell>
          <cell r="J461">
            <v>28500</v>
          </cell>
          <cell r="K461" t="str">
            <v>pc</v>
          </cell>
          <cell r="L461">
            <v>28000</v>
          </cell>
          <cell r="M461" t="str">
            <v>pc</v>
          </cell>
        </row>
        <row r="462">
          <cell r="A462" t="str">
            <v>BUKRIM</v>
          </cell>
          <cell r="B462" t="str">
            <v>Dtj. BUKRIM OXYCLIN 800</v>
          </cell>
          <cell r="C462">
            <v>6</v>
          </cell>
          <cell r="D462" t="str">
            <v>pcs</v>
          </cell>
          <cell r="E462">
            <v>100000</v>
          </cell>
          <cell r="F462">
            <v>200000</v>
          </cell>
          <cell r="G462">
            <v>16666.666666666668</v>
          </cell>
          <cell r="H462">
            <v>17500</v>
          </cell>
          <cell r="I462" t="str">
            <v>pc</v>
          </cell>
          <cell r="J462">
            <v>17300</v>
          </cell>
          <cell r="K462" t="str">
            <v>pc</v>
          </cell>
          <cell r="L462">
            <v>17100</v>
          </cell>
          <cell r="M462" t="str">
            <v>pc</v>
          </cell>
          <cell r="T462">
            <v>203000</v>
          </cell>
          <cell r="U462">
            <v>12</v>
          </cell>
          <cell r="V462" t="str">
            <v>lsn</v>
          </cell>
          <cell r="W462">
            <v>16900</v>
          </cell>
          <cell r="X462" t="str">
            <v>pc</v>
          </cell>
          <cell r="Y462">
            <v>17000</v>
          </cell>
          <cell r="Z462" t="str">
            <v>pc</v>
          </cell>
          <cell r="AA462">
            <v>102500</v>
          </cell>
          <cell r="AB462" t="str">
            <v>dos</v>
          </cell>
        </row>
        <row r="463">
          <cell r="A463" t="str">
            <v>JAZ1R</v>
          </cell>
          <cell r="B463" t="str">
            <v>Dtj. Attack Jaz 1</v>
          </cell>
          <cell r="C463">
            <v>6</v>
          </cell>
          <cell r="D463" t="str">
            <v>rtg</v>
          </cell>
          <cell r="E463">
            <v>4750</v>
          </cell>
          <cell r="F463">
            <v>114000</v>
          </cell>
          <cell r="G463">
            <v>791.66666666666663</v>
          </cell>
          <cell r="N463">
            <v>6000</v>
          </cell>
          <cell r="O463">
            <v>6</v>
          </cell>
          <cell r="P463" t="str">
            <v>rtg</v>
          </cell>
          <cell r="AA463">
            <v>117000</v>
          </cell>
          <cell r="AB463" t="str">
            <v>dos</v>
          </cell>
        </row>
        <row r="464">
          <cell r="A464" t="str">
            <v>JAZ1800</v>
          </cell>
          <cell r="B464" t="str">
            <v>Dtj. Jaz 800</v>
          </cell>
          <cell r="C464">
            <v>3</v>
          </cell>
          <cell r="D464" t="str">
            <v>pcs</v>
          </cell>
          <cell r="E464">
            <v>45000</v>
          </cell>
          <cell r="G464">
            <v>15000</v>
          </cell>
          <cell r="H464">
            <v>16000</v>
          </cell>
          <cell r="I464" t="str">
            <v>pc</v>
          </cell>
          <cell r="J464">
            <v>16000</v>
          </cell>
          <cell r="K464" t="str">
            <v>pc</v>
          </cell>
          <cell r="L464">
            <v>15500</v>
          </cell>
          <cell r="M464" t="str">
            <v>pc</v>
          </cell>
        </row>
        <row r="465">
          <cell r="A465" t="str">
            <v>ATTACK800</v>
          </cell>
          <cell r="B465" t="str">
            <v>Dtj. Attack SOFT 800 GR</v>
          </cell>
          <cell r="C465">
            <v>3</v>
          </cell>
          <cell r="D465" t="str">
            <v>pcs</v>
          </cell>
          <cell r="E465">
            <v>57000</v>
          </cell>
          <cell r="G465">
            <v>19000</v>
          </cell>
          <cell r="H465">
            <v>20000</v>
          </cell>
          <cell r="I465" t="str">
            <v>pc</v>
          </cell>
          <cell r="J465">
            <v>20000</v>
          </cell>
          <cell r="K465" t="str">
            <v>pc</v>
          </cell>
          <cell r="L465">
            <v>20000</v>
          </cell>
          <cell r="M465" t="str">
            <v>pc</v>
          </cell>
        </row>
        <row r="466">
          <cell r="A466" t="str">
            <v>BOOM</v>
          </cell>
          <cell r="B466" t="str">
            <v>Dtj. Boom</v>
          </cell>
          <cell r="C466">
            <v>12</v>
          </cell>
          <cell r="D466" t="str">
            <v>dos</v>
          </cell>
          <cell r="E466">
            <v>54000</v>
          </cell>
          <cell r="G466">
            <v>4500</v>
          </cell>
          <cell r="H466">
            <v>5000</v>
          </cell>
          <cell r="I466" t="str">
            <v>bks</v>
          </cell>
          <cell r="J466">
            <v>5000</v>
          </cell>
          <cell r="K466" t="str">
            <v>bks</v>
          </cell>
          <cell r="L466">
            <v>4900</v>
          </cell>
          <cell r="M466" t="str">
            <v>bks</v>
          </cell>
          <cell r="T466">
            <v>57000</v>
          </cell>
          <cell r="U466">
            <v>12</v>
          </cell>
          <cell r="V466" t="str">
            <v>lsn</v>
          </cell>
          <cell r="W466">
            <v>4750</v>
          </cell>
          <cell r="X466" t="str">
            <v>bks</v>
          </cell>
          <cell r="Y466">
            <v>4800</v>
          </cell>
          <cell r="Z466" t="str">
            <v>bks</v>
          </cell>
          <cell r="AA466">
            <v>57000</v>
          </cell>
          <cell r="AB466" t="str">
            <v>dos</v>
          </cell>
        </row>
        <row r="467">
          <cell r="A467" t="str">
            <v>ALL1</v>
          </cell>
          <cell r="B467" t="str">
            <v xml:space="preserve">Dtj. ALL IN 1 </v>
          </cell>
          <cell r="C467">
            <v>6</v>
          </cell>
          <cell r="D467" t="str">
            <v>rtg</v>
          </cell>
          <cell r="E467">
            <v>4575</v>
          </cell>
          <cell r="F467">
            <v>54900</v>
          </cell>
          <cell r="G467">
            <v>762.5</v>
          </cell>
          <cell r="N467">
            <v>5500</v>
          </cell>
          <cell r="P467" t="str">
            <v>rtg</v>
          </cell>
        </row>
        <row r="468">
          <cell r="A468" t="str">
            <v>DAIA850</v>
          </cell>
          <cell r="B468" t="str">
            <v>Dtj. Daia 850 gr</v>
          </cell>
          <cell r="C468">
            <v>12</v>
          </cell>
          <cell r="D468" t="str">
            <v>dos</v>
          </cell>
          <cell r="E468">
            <v>185424</v>
          </cell>
          <cell r="G468">
            <v>15452</v>
          </cell>
          <cell r="H468">
            <v>16500</v>
          </cell>
          <cell r="I468" t="str">
            <v>bks</v>
          </cell>
          <cell r="J468">
            <v>16000</v>
          </cell>
          <cell r="K468" t="str">
            <v>bks</v>
          </cell>
          <cell r="L468">
            <v>16000</v>
          </cell>
          <cell r="M468" t="str">
            <v>bks</v>
          </cell>
          <cell r="T468">
            <v>188000</v>
          </cell>
          <cell r="U468">
            <v>12</v>
          </cell>
          <cell r="V468" t="str">
            <v>lsn</v>
          </cell>
          <cell r="W468">
            <v>15900</v>
          </cell>
          <cell r="X468" t="str">
            <v>bks</v>
          </cell>
          <cell r="Y468">
            <v>15900</v>
          </cell>
          <cell r="Z468" t="str">
            <v>bks</v>
          </cell>
        </row>
        <row r="469">
          <cell r="A469" t="str">
            <v>DAIA600</v>
          </cell>
          <cell r="B469" t="str">
            <v>Dtj. Daia 600 gr</v>
          </cell>
          <cell r="C469">
            <v>12</v>
          </cell>
          <cell r="D469" t="str">
            <v>dos</v>
          </cell>
          <cell r="E469">
            <v>104100</v>
          </cell>
          <cell r="G469">
            <v>8675</v>
          </cell>
          <cell r="H469">
            <v>10000</v>
          </cell>
          <cell r="I469" t="str">
            <v>bks</v>
          </cell>
          <cell r="J469">
            <v>10000</v>
          </cell>
          <cell r="K469" t="str">
            <v>bks</v>
          </cell>
          <cell r="L469">
            <v>9500</v>
          </cell>
          <cell r="M469" t="str">
            <v>bks</v>
          </cell>
          <cell r="T469">
            <v>110000</v>
          </cell>
          <cell r="U469">
            <v>12</v>
          </cell>
          <cell r="V469" t="str">
            <v>lsn</v>
          </cell>
          <cell r="W469">
            <v>9100</v>
          </cell>
          <cell r="X469" t="str">
            <v>bks</v>
          </cell>
          <cell r="Y469">
            <v>9200</v>
          </cell>
          <cell r="Z469" t="str">
            <v>bks</v>
          </cell>
          <cell r="AA469">
            <v>110000</v>
          </cell>
          <cell r="AB469" t="str">
            <v>dos</v>
          </cell>
        </row>
        <row r="470">
          <cell r="A470" t="str">
            <v>DAIA1800</v>
          </cell>
          <cell r="B470" t="str">
            <v>Dtj. Daia 1800 gr</v>
          </cell>
          <cell r="C470">
            <v>6</v>
          </cell>
          <cell r="D470" t="str">
            <v>dos</v>
          </cell>
          <cell r="E470">
            <v>177510</v>
          </cell>
          <cell r="G470">
            <v>29585</v>
          </cell>
          <cell r="H470">
            <v>32000</v>
          </cell>
          <cell r="I470" t="str">
            <v>bks</v>
          </cell>
          <cell r="J470">
            <v>31500</v>
          </cell>
          <cell r="K470" t="str">
            <v>bks</v>
          </cell>
          <cell r="L470">
            <v>31000</v>
          </cell>
          <cell r="M470" t="str">
            <v>bks</v>
          </cell>
        </row>
        <row r="471">
          <cell r="A471" t="str">
            <v>DAIA1</v>
          </cell>
          <cell r="B471" t="str">
            <v>Dtj. Daia Renteng</v>
          </cell>
          <cell r="C471">
            <v>12</v>
          </cell>
          <cell r="D471" t="str">
            <v>dos</v>
          </cell>
          <cell r="E471">
            <v>4800</v>
          </cell>
          <cell r="F471">
            <v>57600</v>
          </cell>
          <cell r="G471">
            <v>800</v>
          </cell>
          <cell r="N471">
            <v>6000</v>
          </cell>
          <cell r="O471">
            <v>6</v>
          </cell>
          <cell r="P471" t="str">
            <v>rtg</v>
          </cell>
          <cell r="AA471">
            <v>61000</v>
          </cell>
          <cell r="AB471" t="str">
            <v>dos</v>
          </cell>
        </row>
        <row r="472">
          <cell r="A472" t="str">
            <v>DAIA290</v>
          </cell>
          <cell r="B472" t="str">
            <v>Dtj. Daia 290 Gr</v>
          </cell>
          <cell r="C472">
            <v>22</v>
          </cell>
          <cell r="D472" t="str">
            <v>pcs</v>
          </cell>
          <cell r="E472">
            <v>96800</v>
          </cell>
          <cell r="F472">
            <v>52800</v>
          </cell>
          <cell r="G472">
            <v>4400</v>
          </cell>
          <cell r="H472">
            <v>5500</v>
          </cell>
          <cell r="I472" t="str">
            <v>pc</v>
          </cell>
          <cell r="J472">
            <v>5500</v>
          </cell>
          <cell r="K472" t="str">
            <v>pc</v>
          </cell>
          <cell r="L472">
            <v>4900</v>
          </cell>
          <cell r="M472" t="str">
            <v>pc</v>
          </cell>
          <cell r="Y472">
            <v>4800</v>
          </cell>
          <cell r="Z472" t="str">
            <v>pc</v>
          </cell>
        </row>
        <row r="473">
          <cell r="A473" t="str">
            <v>RINSOB250</v>
          </cell>
          <cell r="B473" t="str">
            <v>Dtj. Rinso Molto 250 gr</v>
          </cell>
          <cell r="C473">
            <v>12</v>
          </cell>
          <cell r="D473" t="str">
            <v>pcs</v>
          </cell>
          <cell r="E473">
            <v>49200</v>
          </cell>
          <cell r="G473">
            <v>4100</v>
          </cell>
          <cell r="H473">
            <v>5500</v>
          </cell>
          <cell r="I473" t="str">
            <v>bks</v>
          </cell>
          <cell r="J473">
            <v>5000</v>
          </cell>
          <cell r="K473" t="str">
            <v>bks</v>
          </cell>
          <cell r="L473">
            <v>4500</v>
          </cell>
          <cell r="M473" t="str">
            <v>bks</v>
          </cell>
        </row>
        <row r="474">
          <cell r="A474" t="str">
            <v>RINSOC65</v>
          </cell>
          <cell r="B474" t="str">
            <v>Dtj. Rinso Matic Cair 65 ml</v>
          </cell>
          <cell r="C474">
            <v>6</v>
          </cell>
          <cell r="D474" t="str">
            <v>rtg</v>
          </cell>
          <cell r="E474">
            <v>9600</v>
          </cell>
          <cell r="F474">
            <v>115200</v>
          </cell>
          <cell r="G474">
            <v>1600</v>
          </cell>
          <cell r="H474">
            <v>2000</v>
          </cell>
          <cell r="I474" t="str">
            <v>bks</v>
          </cell>
          <cell r="J474">
            <v>2000</v>
          </cell>
          <cell r="K474" t="str">
            <v>bks</v>
          </cell>
          <cell r="L474">
            <v>1800</v>
          </cell>
          <cell r="M474" t="str">
            <v>bks</v>
          </cell>
          <cell r="N474">
            <v>10500</v>
          </cell>
          <cell r="O474">
            <v>6</v>
          </cell>
          <cell r="P474" t="str">
            <v>rg</v>
          </cell>
          <cell r="W474">
            <v>1660</v>
          </cell>
          <cell r="X474" t="str">
            <v>bks</v>
          </cell>
          <cell r="Y474">
            <v>1750</v>
          </cell>
          <cell r="Z474" t="str">
            <v>bks</v>
          </cell>
        </row>
        <row r="475">
          <cell r="A475" t="str">
            <v>RINSOC800</v>
          </cell>
          <cell r="B475" t="str">
            <v>Dtj. Rinso Anti Noda Cair Reff 800 ml</v>
          </cell>
          <cell r="C475">
            <v>6</v>
          </cell>
          <cell r="D475" t="str">
            <v>pcs</v>
          </cell>
          <cell r="E475">
            <v>215400</v>
          </cell>
          <cell r="G475">
            <v>35900</v>
          </cell>
          <cell r="H475">
            <v>19500</v>
          </cell>
          <cell r="I475" t="str">
            <v>bks</v>
          </cell>
          <cell r="J475">
            <v>19000</v>
          </cell>
          <cell r="K475" t="str">
            <v>bks</v>
          </cell>
          <cell r="L475">
            <v>18500</v>
          </cell>
          <cell r="M475" t="str">
            <v>bks</v>
          </cell>
          <cell r="T475">
            <v>218500</v>
          </cell>
          <cell r="U475">
            <v>12</v>
          </cell>
          <cell r="V475" t="str">
            <v>lsn</v>
          </cell>
          <cell r="W475">
            <v>18200</v>
          </cell>
          <cell r="X475" t="str">
            <v>bks</v>
          </cell>
          <cell r="Y475">
            <v>18300</v>
          </cell>
          <cell r="Z475" t="str">
            <v>bks</v>
          </cell>
        </row>
        <row r="476">
          <cell r="A476" t="str">
            <v>RINSOA1800</v>
          </cell>
          <cell r="B476" t="str">
            <v>Dtj. Rinso Antinoda 1,800 gr</v>
          </cell>
          <cell r="C476">
            <v>6</v>
          </cell>
          <cell r="D476" t="str">
            <v>pcs</v>
          </cell>
          <cell r="E476">
            <v>210601</v>
          </cell>
          <cell r="F476">
            <v>421202</v>
          </cell>
          <cell r="G476">
            <v>35100.166666666664</v>
          </cell>
          <cell r="H476">
            <v>37500</v>
          </cell>
          <cell r="I476" t="str">
            <v>bks</v>
          </cell>
          <cell r="J476">
            <v>37000</v>
          </cell>
          <cell r="K476" t="str">
            <v>bks</v>
          </cell>
          <cell r="L476">
            <v>36500</v>
          </cell>
          <cell r="M476" t="str">
            <v>bks</v>
          </cell>
        </row>
        <row r="477">
          <cell r="A477" t="str">
            <v>RINSOM1800</v>
          </cell>
          <cell r="B477" t="str">
            <v>Dtj. Rinso MOLTO 1,800 gr</v>
          </cell>
          <cell r="C477">
            <v>6</v>
          </cell>
          <cell r="D477" t="str">
            <v>pcs</v>
          </cell>
          <cell r="E477">
            <v>210601</v>
          </cell>
          <cell r="F477">
            <v>421202</v>
          </cell>
          <cell r="G477">
            <v>35100.166666666664</v>
          </cell>
          <cell r="H477">
            <v>37500</v>
          </cell>
          <cell r="I477" t="str">
            <v>bks</v>
          </cell>
          <cell r="J477">
            <v>37000</v>
          </cell>
          <cell r="K477" t="str">
            <v>bks</v>
          </cell>
          <cell r="L477">
            <v>36500</v>
          </cell>
          <cell r="M477" t="str">
            <v>bks</v>
          </cell>
        </row>
        <row r="478">
          <cell r="A478" t="str">
            <v>RINSO430</v>
          </cell>
          <cell r="B478" t="str">
            <v>Dtj. Rinso Antinoda 430 gr</v>
          </cell>
          <cell r="C478">
            <v>12</v>
          </cell>
          <cell r="D478" t="str">
            <v>pcs</v>
          </cell>
          <cell r="E478">
            <v>116400</v>
          </cell>
          <cell r="G478">
            <v>9700</v>
          </cell>
          <cell r="H478">
            <v>11000</v>
          </cell>
          <cell r="I478" t="str">
            <v>bks</v>
          </cell>
          <cell r="J478">
            <v>10700</v>
          </cell>
          <cell r="K478" t="str">
            <v>bks</v>
          </cell>
          <cell r="L478">
            <v>10400</v>
          </cell>
          <cell r="M478" t="str">
            <v>bks</v>
          </cell>
          <cell r="T478">
            <v>120000</v>
          </cell>
          <cell r="U478">
            <v>12</v>
          </cell>
          <cell r="V478" t="str">
            <v>lsn</v>
          </cell>
          <cell r="W478">
            <v>10000</v>
          </cell>
          <cell r="X478" t="str">
            <v>bks</v>
          </cell>
          <cell r="Y478">
            <v>10000</v>
          </cell>
          <cell r="Z478" t="str">
            <v>bks</v>
          </cell>
          <cell r="AB478" t="str">
            <v>dos</v>
          </cell>
        </row>
        <row r="479">
          <cell r="A479" t="str">
            <v>RINSO770</v>
          </cell>
          <cell r="B479" t="str">
            <v>Dtj. Rinso Antinoda 770</v>
          </cell>
          <cell r="C479">
            <v>3</v>
          </cell>
          <cell r="D479" t="str">
            <v>pcs</v>
          </cell>
          <cell r="E479">
            <v>54000</v>
          </cell>
          <cell r="G479">
            <v>18000</v>
          </cell>
          <cell r="H479">
            <v>20000</v>
          </cell>
          <cell r="I479" t="str">
            <v>bks</v>
          </cell>
          <cell r="J479">
            <v>20000</v>
          </cell>
          <cell r="K479" t="str">
            <v>bks</v>
          </cell>
          <cell r="L479">
            <v>19700</v>
          </cell>
          <cell r="M479" t="str">
            <v>bks</v>
          </cell>
          <cell r="T479">
            <v>231000</v>
          </cell>
          <cell r="U479">
            <v>12</v>
          </cell>
          <cell r="V479" t="str">
            <v>lsn</v>
          </cell>
          <cell r="W479">
            <v>19300</v>
          </cell>
          <cell r="X479" t="str">
            <v>bks</v>
          </cell>
          <cell r="Y479">
            <v>19500</v>
          </cell>
          <cell r="Z479" t="str">
            <v>bks</v>
          </cell>
        </row>
        <row r="480">
          <cell r="A480" t="str">
            <v>RINSOB1</v>
          </cell>
          <cell r="B480" t="str">
            <v>Dtj. Rinso Bubuk rtg 50 gr</v>
          </cell>
          <cell r="C480">
            <v>6</v>
          </cell>
          <cell r="D480" t="str">
            <v>rtg</v>
          </cell>
          <cell r="E480">
            <v>5071.5</v>
          </cell>
          <cell r="F480">
            <v>101430</v>
          </cell>
          <cell r="G480">
            <v>845.25</v>
          </cell>
          <cell r="N480">
            <v>6000</v>
          </cell>
          <cell r="O480">
            <v>6</v>
          </cell>
          <cell r="P480" t="str">
            <v>rtg</v>
          </cell>
          <cell r="AA480">
            <v>99000</v>
          </cell>
          <cell r="AB480" t="str">
            <v>dos</v>
          </cell>
        </row>
        <row r="481">
          <cell r="A481" t="str">
            <v>RINSOC1600</v>
          </cell>
          <cell r="B481" t="str">
            <v>Dtj. Rinso CAIR 1,600 gr</v>
          </cell>
          <cell r="C481">
            <v>12</v>
          </cell>
          <cell r="D481" t="str">
            <v>pcs</v>
          </cell>
          <cell r="E481">
            <v>510300</v>
          </cell>
          <cell r="F481">
            <v>255150</v>
          </cell>
          <cell r="G481">
            <v>42525</v>
          </cell>
          <cell r="H481">
            <v>44000</v>
          </cell>
          <cell r="I481" t="str">
            <v>bks</v>
          </cell>
          <cell r="J481">
            <v>43200</v>
          </cell>
          <cell r="K481" t="str">
            <v>bks</v>
          </cell>
          <cell r="L481">
            <v>42900</v>
          </cell>
          <cell r="M481" t="str">
            <v>bks</v>
          </cell>
          <cell r="T481">
            <v>513000</v>
          </cell>
          <cell r="U481">
            <v>12</v>
          </cell>
          <cell r="V481" t="str">
            <v>lsn</v>
          </cell>
          <cell r="W481">
            <v>42700</v>
          </cell>
          <cell r="X481" t="str">
            <v>pc</v>
          </cell>
          <cell r="Y481">
            <v>42750</v>
          </cell>
          <cell r="Z481" t="str">
            <v>pc</v>
          </cell>
          <cell r="AA481">
            <v>256500</v>
          </cell>
          <cell r="AB481" t="str">
            <v>dos</v>
          </cell>
        </row>
        <row r="482">
          <cell r="A482" t="str">
            <v>RINSOC400</v>
          </cell>
          <cell r="B482" t="str">
            <v>Dtj. Rinso Cair ANTI NODA Reff 400 ml</v>
          </cell>
          <cell r="C482">
            <v>24</v>
          </cell>
          <cell r="D482" t="str">
            <v>pcs</v>
          </cell>
          <cell r="E482">
            <v>212400</v>
          </cell>
          <cell r="F482">
            <v>106200</v>
          </cell>
          <cell r="G482">
            <v>8850</v>
          </cell>
          <cell r="H482">
            <v>10000</v>
          </cell>
          <cell r="I482" t="str">
            <v>bks</v>
          </cell>
          <cell r="J482">
            <v>9500</v>
          </cell>
          <cell r="K482" t="str">
            <v>bks</v>
          </cell>
          <cell r="L482">
            <v>9100</v>
          </cell>
          <cell r="M482" t="str">
            <v>bks</v>
          </cell>
          <cell r="T482">
            <v>109000</v>
          </cell>
          <cell r="U482">
            <v>12</v>
          </cell>
          <cell r="V482" t="str">
            <v>lsn</v>
          </cell>
          <cell r="W482">
            <v>9000</v>
          </cell>
          <cell r="X482" t="str">
            <v>bks</v>
          </cell>
          <cell r="Y482">
            <v>9083.3333333333339</v>
          </cell>
          <cell r="Z482" t="str">
            <v>bks</v>
          </cell>
          <cell r="AA482">
            <v>218000</v>
          </cell>
          <cell r="AB482" t="str">
            <v>dos</v>
          </cell>
        </row>
        <row r="483">
          <cell r="A483" t="str">
            <v>RINSOC1</v>
          </cell>
          <cell r="B483" t="str">
            <v>Dtj. Rinso Cair Hijau 42 ML rtg</v>
          </cell>
          <cell r="C483">
            <v>6</v>
          </cell>
          <cell r="D483" t="str">
            <v>rtg</v>
          </cell>
          <cell r="E483">
            <v>4830</v>
          </cell>
          <cell r="F483">
            <v>115920</v>
          </cell>
          <cell r="G483">
            <v>805</v>
          </cell>
          <cell r="N483">
            <v>6000</v>
          </cell>
          <cell r="P483" t="str">
            <v>rtg</v>
          </cell>
        </row>
        <row r="484">
          <cell r="A484" t="str">
            <v>RINSOC1000B</v>
          </cell>
          <cell r="B484" t="str">
            <v>Dtj. Rinso Molto Cair 1000 ml botol</v>
          </cell>
          <cell r="C484">
            <v>6</v>
          </cell>
          <cell r="D484" t="str">
            <v>pcs</v>
          </cell>
          <cell r="E484">
            <v>145500.29999999999</v>
          </cell>
          <cell r="F484">
            <v>291000.59999999998</v>
          </cell>
          <cell r="G484">
            <v>24250.05</v>
          </cell>
          <cell r="H484">
            <v>26000</v>
          </cell>
          <cell r="I484" t="str">
            <v>btl</v>
          </cell>
          <cell r="J484">
            <v>25500</v>
          </cell>
          <cell r="K484" t="str">
            <v>btl</v>
          </cell>
          <cell r="L484">
            <v>25000</v>
          </cell>
          <cell r="M484" t="str">
            <v>btl</v>
          </cell>
          <cell r="T484">
            <v>294000</v>
          </cell>
          <cell r="U484">
            <v>12</v>
          </cell>
          <cell r="V484" t="str">
            <v>lsn</v>
          </cell>
          <cell r="W484">
            <v>24500</v>
          </cell>
          <cell r="X484" t="str">
            <v>btl</v>
          </cell>
          <cell r="Y484">
            <v>24800</v>
          </cell>
          <cell r="Z484" t="str">
            <v>btl</v>
          </cell>
          <cell r="AA484">
            <v>148000</v>
          </cell>
          <cell r="AB484" t="str">
            <v>dos</v>
          </cell>
        </row>
        <row r="485">
          <cell r="A485" t="str">
            <v>RINSOB800</v>
          </cell>
          <cell r="B485" t="str">
            <v>Dtj. Rinso Warna / Molto 800 GR</v>
          </cell>
          <cell r="C485">
            <v>12</v>
          </cell>
          <cell r="D485" t="str">
            <v>pcs</v>
          </cell>
          <cell r="E485">
            <v>223200</v>
          </cell>
          <cell r="G485">
            <v>18600</v>
          </cell>
          <cell r="H485">
            <v>20000</v>
          </cell>
          <cell r="I485" t="str">
            <v>bks</v>
          </cell>
          <cell r="J485">
            <v>19300</v>
          </cell>
          <cell r="K485" t="str">
            <v>bks</v>
          </cell>
          <cell r="L485">
            <v>19000</v>
          </cell>
          <cell r="M485" t="str">
            <v>bks</v>
          </cell>
          <cell r="T485">
            <v>226000</v>
          </cell>
          <cell r="U485">
            <v>12</v>
          </cell>
          <cell r="V485" t="str">
            <v>lsn</v>
          </cell>
          <cell r="W485">
            <v>18800</v>
          </cell>
          <cell r="X485" t="str">
            <v>bks</v>
          </cell>
          <cell r="Y485">
            <v>18833.333333333332</v>
          </cell>
          <cell r="Z485" t="str">
            <v>bks</v>
          </cell>
          <cell r="AA485">
            <v>226000</v>
          </cell>
          <cell r="AB485" t="str">
            <v>dos</v>
          </cell>
        </row>
        <row r="486">
          <cell r="A486" t="str">
            <v>SURF900</v>
          </cell>
          <cell r="B486" t="str">
            <v>Dtj. Surf 900 kg</v>
          </cell>
          <cell r="C486">
            <v>12</v>
          </cell>
          <cell r="D486" t="str">
            <v>pcs</v>
          </cell>
          <cell r="E486">
            <v>196800</v>
          </cell>
          <cell r="G486">
            <v>16400</v>
          </cell>
          <cell r="H486">
            <v>18000</v>
          </cell>
          <cell r="I486" t="str">
            <v>bks</v>
          </cell>
          <cell r="J486">
            <v>17500</v>
          </cell>
          <cell r="K486" t="str">
            <v>bks</v>
          </cell>
          <cell r="L486">
            <v>16900</v>
          </cell>
          <cell r="M486" t="str">
            <v>bks</v>
          </cell>
          <cell r="T486">
            <v>199500</v>
          </cell>
          <cell r="U486">
            <v>12</v>
          </cell>
          <cell r="V486" t="str">
            <v>lsn</v>
          </cell>
          <cell r="W486">
            <v>16600</v>
          </cell>
          <cell r="X486" t="str">
            <v>bks</v>
          </cell>
          <cell r="Y486">
            <v>16700</v>
          </cell>
          <cell r="Z486" t="str">
            <v>bks</v>
          </cell>
          <cell r="AA486">
            <v>199500</v>
          </cell>
          <cell r="AB486" t="str">
            <v>dos</v>
          </cell>
        </row>
        <row r="487">
          <cell r="A487" t="str">
            <v>SURFR</v>
          </cell>
          <cell r="B487" t="str">
            <v>Dtj. Surf renteng</v>
          </cell>
          <cell r="C487">
            <v>6</v>
          </cell>
          <cell r="D487" t="str">
            <v>rtg</v>
          </cell>
          <cell r="E487">
            <v>4620</v>
          </cell>
          <cell r="F487">
            <v>92400</v>
          </cell>
          <cell r="G487">
            <v>770</v>
          </cell>
          <cell r="H487">
            <v>1000</v>
          </cell>
          <cell r="I487" t="str">
            <v>pc</v>
          </cell>
          <cell r="J487">
            <v>1000</v>
          </cell>
          <cell r="K487" t="str">
            <v>pc</v>
          </cell>
          <cell r="L487">
            <v>1000</v>
          </cell>
          <cell r="M487" t="str">
            <v>pc</v>
          </cell>
          <cell r="N487">
            <v>6000</v>
          </cell>
          <cell r="O487">
            <v>6</v>
          </cell>
          <cell r="P487" t="str">
            <v>rtg</v>
          </cell>
        </row>
        <row r="488">
          <cell r="A488" t="str">
            <v>TOTAL475</v>
          </cell>
          <cell r="B488" t="str">
            <v>Dtj. Total 475 gr</v>
          </cell>
          <cell r="C488">
            <v>14</v>
          </cell>
          <cell r="D488" t="str">
            <v>pcs</v>
          </cell>
          <cell r="E488">
            <v>56000</v>
          </cell>
          <cell r="F488">
            <v>48000</v>
          </cell>
          <cell r="G488">
            <v>4000</v>
          </cell>
          <cell r="H488">
            <v>5000</v>
          </cell>
          <cell r="I488" t="str">
            <v>bks</v>
          </cell>
          <cell r="J488">
            <v>4600</v>
          </cell>
          <cell r="K488" t="str">
            <v>bks</v>
          </cell>
          <cell r="L488">
            <v>4300</v>
          </cell>
          <cell r="M488" t="str">
            <v>bks</v>
          </cell>
          <cell r="T488">
            <v>51000</v>
          </cell>
          <cell r="U488">
            <v>12</v>
          </cell>
          <cell r="V488" t="str">
            <v>lsn</v>
          </cell>
          <cell r="W488">
            <v>4200</v>
          </cell>
          <cell r="X488" t="str">
            <v>bks</v>
          </cell>
          <cell r="Y488">
            <v>4250</v>
          </cell>
          <cell r="Z488" t="str">
            <v>bks</v>
          </cell>
          <cell r="AA488">
            <v>60000</v>
          </cell>
          <cell r="AB488" t="str">
            <v>dos</v>
          </cell>
        </row>
        <row r="489">
          <cell r="A489" t="str">
            <v>TOTAL900</v>
          </cell>
          <cell r="B489" t="str">
            <v>Dtj. Total Softener 900 gr</v>
          </cell>
          <cell r="C489">
            <v>12</v>
          </cell>
          <cell r="D489" t="str">
            <v>pcs</v>
          </cell>
          <cell r="E489">
            <v>163000</v>
          </cell>
          <cell r="G489">
            <v>13583.333333333334</v>
          </cell>
          <cell r="H489">
            <v>14500</v>
          </cell>
          <cell r="I489" t="str">
            <v>bks</v>
          </cell>
          <cell r="J489">
            <v>14200</v>
          </cell>
          <cell r="K489" t="str">
            <v>pc</v>
          </cell>
          <cell r="L489">
            <v>13900</v>
          </cell>
          <cell r="M489" t="str">
            <v>pc</v>
          </cell>
          <cell r="T489">
            <v>166000</v>
          </cell>
          <cell r="U489">
            <v>12</v>
          </cell>
          <cell r="V489" t="str">
            <v>lsn</v>
          </cell>
          <cell r="W489">
            <v>13800</v>
          </cell>
          <cell r="X489" t="str">
            <v>pc</v>
          </cell>
          <cell r="Y489">
            <v>13833.333333333334</v>
          </cell>
          <cell r="Z489" t="str">
            <v>pc</v>
          </cell>
          <cell r="AA489">
            <v>166000</v>
          </cell>
          <cell r="AB489" t="str">
            <v>dos</v>
          </cell>
        </row>
        <row r="490">
          <cell r="A490" t="str">
            <v>WOWS</v>
          </cell>
          <cell r="B490" t="str">
            <v>Dtj. Wow</v>
          </cell>
          <cell r="C490">
            <v>10</v>
          </cell>
          <cell r="D490" t="str">
            <v>pcs</v>
          </cell>
          <cell r="E490">
            <v>42500</v>
          </cell>
          <cell r="F490">
            <v>51000</v>
          </cell>
          <cell r="G490">
            <v>4250</v>
          </cell>
          <cell r="H490">
            <v>5000</v>
          </cell>
          <cell r="I490" t="str">
            <v>bks</v>
          </cell>
          <cell r="J490">
            <v>4700</v>
          </cell>
          <cell r="K490" t="str">
            <v>bks</v>
          </cell>
          <cell r="L490">
            <v>4500</v>
          </cell>
          <cell r="M490" t="str">
            <v>bks</v>
          </cell>
          <cell r="T490">
            <v>53500</v>
          </cell>
          <cell r="U490">
            <v>12</v>
          </cell>
          <cell r="V490" t="str">
            <v>lsn</v>
          </cell>
          <cell r="W490">
            <v>4400</v>
          </cell>
          <cell r="X490" t="str">
            <v>bks</v>
          </cell>
          <cell r="Y490">
            <v>4458.333333333333</v>
          </cell>
          <cell r="Z490" t="str">
            <v>bks</v>
          </cell>
          <cell r="AA490">
            <v>45500</v>
          </cell>
          <cell r="AB490" t="str">
            <v>dos</v>
          </cell>
        </row>
        <row r="491">
          <cell r="A491" t="str">
            <v>EKONOMIB</v>
          </cell>
          <cell r="B491" t="str">
            <v>Ekonomi Bungkus</v>
          </cell>
          <cell r="C491">
            <v>30</v>
          </cell>
          <cell r="D491" t="str">
            <v>pcs</v>
          </cell>
          <cell r="E491">
            <v>55800</v>
          </cell>
          <cell r="F491">
            <v>22320</v>
          </cell>
          <cell r="G491">
            <v>1860</v>
          </cell>
          <cell r="H491">
            <v>2500</v>
          </cell>
          <cell r="I491" t="str">
            <v>bks</v>
          </cell>
          <cell r="J491">
            <v>2500</v>
          </cell>
          <cell r="K491" t="str">
            <v>bks</v>
          </cell>
          <cell r="L491">
            <v>2200</v>
          </cell>
          <cell r="M491" t="str">
            <v>bks</v>
          </cell>
          <cell r="T491">
            <v>25000</v>
          </cell>
          <cell r="U491">
            <v>12</v>
          </cell>
          <cell r="V491" t="str">
            <v>lsn</v>
          </cell>
          <cell r="W491">
            <v>2000</v>
          </cell>
          <cell r="X491" t="str">
            <v>bks</v>
          </cell>
          <cell r="Y491">
            <v>2083.3333333333335</v>
          </cell>
          <cell r="Z491" t="str">
            <v>bks</v>
          </cell>
          <cell r="AA491">
            <v>61000</v>
          </cell>
          <cell r="AB491" t="str">
            <v>dos</v>
          </cell>
        </row>
        <row r="492">
          <cell r="A492" t="str">
            <v>EKONOMI65</v>
          </cell>
          <cell r="B492" t="str">
            <v>Ekonomi LIQUID 65 ML</v>
          </cell>
          <cell r="C492">
            <v>72</v>
          </cell>
          <cell r="D492" t="str">
            <v>pcs</v>
          </cell>
          <cell r="E492">
            <v>57600</v>
          </cell>
          <cell r="F492">
            <v>9600</v>
          </cell>
          <cell r="G492">
            <v>800</v>
          </cell>
          <cell r="H492">
            <v>1500</v>
          </cell>
          <cell r="I492" t="str">
            <v>bks</v>
          </cell>
          <cell r="J492">
            <v>1500</v>
          </cell>
          <cell r="K492" t="str">
            <v>bks</v>
          </cell>
          <cell r="L492">
            <v>1300</v>
          </cell>
          <cell r="M492" t="str">
            <v>bks</v>
          </cell>
          <cell r="T492">
            <v>11500</v>
          </cell>
          <cell r="U492">
            <v>12</v>
          </cell>
          <cell r="V492" t="str">
            <v>lsn</v>
          </cell>
          <cell r="W492">
            <v>1000</v>
          </cell>
          <cell r="X492" t="str">
            <v>bks</v>
          </cell>
          <cell r="Y492">
            <v>1000</v>
          </cell>
          <cell r="Z492" t="str">
            <v>bks</v>
          </cell>
        </row>
        <row r="493">
          <cell r="A493" t="str">
            <v>EKONOMI800</v>
          </cell>
          <cell r="B493" t="str">
            <v>Ekonomi LIQUID 800 ML</v>
          </cell>
          <cell r="C493">
            <v>6</v>
          </cell>
          <cell r="D493" t="str">
            <v>pcs</v>
          </cell>
          <cell r="E493">
            <v>64200</v>
          </cell>
          <cell r="F493">
            <v>128400</v>
          </cell>
          <cell r="G493">
            <v>10700</v>
          </cell>
          <cell r="H493">
            <v>12000</v>
          </cell>
          <cell r="I493" t="str">
            <v>bks</v>
          </cell>
          <cell r="J493">
            <v>11700</v>
          </cell>
          <cell r="K493" t="str">
            <v>bks</v>
          </cell>
          <cell r="L493">
            <v>11500</v>
          </cell>
          <cell r="M493" t="str">
            <v>bks</v>
          </cell>
          <cell r="T493">
            <v>131000</v>
          </cell>
          <cell r="U493">
            <v>12</v>
          </cell>
          <cell r="V493" t="str">
            <v>lsn</v>
          </cell>
          <cell r="W493">
            <v>10900</v>
          </cell>
          <cell r="X493" t="str">
            <v>bks</v>
          </cell>
          <cell r="Y493">
            <v>11000</v>
          </cell>
          <cell r="Z493" t="str">
            <v>bks</v>
          </cell>
        </row>
        <row r="494">
          <cell r="A494" t="str">
            <v>EKONOMIG</v>
          </cell>
          <cell r="B494" t="str">
            <v>Ekonomi GELAS 350</v>
          </cell>
          <cell r="C494">
            <v>12</v>
          </cell>
          <cell r="D494" t="str">
            <v>pcs</v>
          </cell>
          <cell r="E494">
            <v>73200</v>
          </cell>
          <cell r="F494">
            <v>73200</v>
          </cell>
          <cell r="G494">
            <v>6100</v>
          </cell>
          <cell r="H494">
            <v>7500</v>
          </cell>
          <cell r="I494" t="str">
            <v>bks</v>
          </cell>
          <cell r="J494">
            <v>7500</v>
          </cell>
          <cell r="K494" t="str">
            <v>bks</v>
          </cell>
          <cell r="L494">
            <v>6500</v>
          </cell>
          <cell r="M494" t="str">
            <v>bks</v>
          </cell>
          <cell r="T494">
            <v>76000</v>
          </cell>
          <cell r="U494">
            <v>12</v>
          </cell>
          <cell r="V494" t="str">
            <v>lsn</v>
          </cell>
          <cell r="W494">
            <v>6300</v>
          </cell>
          <cell r="X494" t="str">
            <v>bks</v>
          </cell>
          <cell r="Y494">
            <v>6333.333333333333</v>
          </cell>
          <cell r="Z494" t="str">
            <v>bks</v>
          </cell>
        </row>
        <row r="495">
          <cell r="A495" t="str">
            <v>FETTA5</v>
          </cell>
          <cell r="B495" t="str">
            <v>Minyak FETTA 5 LITER</v>
          </cell>
          <cell r="C495">
            <v>4</v>
          </cell>
          <cell r="D495" t="str">
            <v>dos</v>
          </cell>
          <cell r="E495">
            <v>242500</v>
          </cell>
          <cell r="G495">
            <v>60625</v>
          </cell>
        </row>
        <row r="496">
          <cell r="A496" t="str">
            <v>FETTA2</v>
          </cell>
          <cell r="B496" t="str">
            <v>Minyak FETTA 2 LTR Refill</v>
          </cell>
          <cell r="C496">
            <v>6</v>
          </cell>
          <cell r="D496" t="str">
            <v>dos</v>
          </cell>
          <cell r="E496">
            <v>167000</v>
          </cell>
          <cell r="G496">
            <v>27833.333333333332</v>
          </cell>
          <cell r="H496">
            <v>28500</v>
          </cell>
          <cell r="I496" t="str">
            <v>bks</v>
          </cell>
          <cell r="J496">
            <v>28500</v>
          </cell>
          <cell r="K496" t="str">
            <v>bks</v>
          </cell>
          <cell r="L496">
            <v>28333.333333333332</v>
          </cell>
          <cell r="M496" t="str">
            <v>bks</v>
          </cell>
          <cell r="AA496">
            <v>170000</v>
          </cell>
          <cell r="AB496" t="str">
            <v>dos</v>
          </cell>
        </row>
        <row r="497">
          <cell r="A497" t="str">
            <v>FETTA1</v>
          </cell>
          <cell r="B497" t="str">
            <v>Minyak FETTA 1 LTR Refill</v>
          </cell>
          <cell r="C497">
            <v>12</v>
          </cell>
          <cell r="D497" t="str">
            <v>dos</v>
          </cell>
          <cell r="E497">
            <v>171000</v>
          </cell>
          <cell r="G497">
            <v>14250</v>
          </cell>
          <cell r="H497">
            <v>15000</v>
          </cell>
          <cell r="I497" t="str">
            <v>bks</v>
          </cell>
          <cell r="J497">
            <v>15000</v>
          </cell>
          <cell r="K497" t="str">
            <v>bks</v>
          </cell>
          <cell r="L497">
            <v>15000</v>
          </cell>
          <cell r="M497" t="str">
            <v>bks</v>
          </cell>
          <cell r="AA497">
            <v>173000</v>
          </cell>
          <cell r="AB497" t="str">
            <v>dos</v>
          </cell>
        </row>
        <row r="498">
          <cell r="A498" t="str">
            <v>FETTA450</v>
          </cell>
          <cell r="B498" t="str">
            <v>Minyak FETTA 450 LTR Refill</v>
          </cell>
          <cell r="C498">
            <v>24</v>
          </cell>
          <cell r="D498" t="str">
            <v>dos</v>
          </cell>
          <cell r="E498">
            <v>157000</v>
          </cell>
          <cell r="F498">
            <v>78500</v>
          </cell>
          <cell r="G498">
            <v>6541.666666666667</v>
          </cell>
          <cell r="H498">
            <v>7000</v>
          </cell>
          <cell r="I498" t="str">
            <v>bks</v>
          </cell>
          <cell r="J498">
            <v>7000</v>
          </cell>
          <cell r="K498" t="str">
            <v>bks</v>
          </cell>
          <cell r="L498">
            <v>7000</v>
          </cell>
          <cell r="M498" t="str">
            <v>bks</v>
          </cell>
          <cell r="Y498">
            <v>7000</v>
          </cell>
          <cell r="Z498" t="str">
            <v>pc</v>
          </cell>
        </row>
        <row r="499">
          <cell r="A499" t="str">
            <v>JUJUR2</v>
          </cell>
          <cell r="B499" t="str">
            <v>Minyak JUJUR Refill 2 LTR</v>
          </cell>
          <cell r="C499">
            <v>6</v>
          </cell>
          <cell r="D499" t="str">
            <v>dos</v>
          </cell>
          <cell r="E499">
            <v>137000</v>
          </cell>
          <cell r="G499">
            <v>22833.333333333332</v>
          </cell>
          <cell r="H499">
            <v>24000</v>
          </cell>
          <cell r="I499" t="str">
            <v>bks</v>
          </cell>
          <cell r="J499">
            <v>23500</v>
          </cell>
          <cell r="K499" t="str">
            <v>bks</v>
          </cell>
          <cell r="L499">
            <v>23500</v>
          </cell>
          <cell r="M499" t="str">
            <v>bks</v>
          </cell>
          <cell r="AA499">
            <v>140000</v>
          </cell>
          <cell r="AB499" t="str">
            <v>dos</v>
          </cell>
        </row>
        <row r="500">
          <cell r="A500" t="str">
            <v>VIOLA1</v>
          </cell>
          <cell r="B500" t="str">
            <v>Minyak VIOLA Refill</v>
          </cell>
          <cell r="C500">
            <v>12</v>
          </cell>
          <cell r="D500" t="str">
            <v>dos</v>
          </cell>
          <cell r="E500">
            <v>134000</v>
          </cell>
          <cell r="G500">
            <v>11166.666666666666</v>
          </cell>
          <cell r="H500">
            <v>12500</v>
          </cell>
          <cell r="I500" t="str">
            <v>bks</v>
          </cell>
          <cell r="J500">
            <v>12000</v>
          </cell>
          <cell r="K500" t="str">
            <v>bks</v>
          </cell>
          <cell r="L500">
            <v>11600</v>
          </cell>
          <cell r="M500" t="str">
            <v>bks</v>
          </cell>
          <cell r="AA500">
            <v>137000</v>
          </cell>
          <cell r="AB500" t="str">
            <v>dos</v>
          </cell>
        </row>
        <row r="501">
          <cell r="A501" t="str">
            <v>MADINA2</v>
          </cell>
          <cell r="B501" t="str">
            <v>Minyak MADINA Refill 2 ltr</v>
          </cell>
          <cell r="C501">
            <v>6</v>
          </cell>
          <cell r="D501" t="str">
            <v>dos</v>
          </cell>
          <cell r="E501">
            <v>142000</v>
          </cell>
          <cell r="G501">
            <v>23666.666666666668</v>
          </cell>
          <cell r="H501">
            <v>25000</v>
          </cell>
          <cell r="I501" t="str">
            <v>bks</v>
          </cell>
          <cell r="J501">
            <v>25000</v>
          </cell>
          <cell r="K501" t="str">
            <v>bks</v>
          </cell>
          <cell r="L501">
            <v>24500</v>
          </cell>
          <cell r="M501" t="str">
            <v>bks</v>
          </cell>
          <cell r="Y501">
            <v>24333.333333333332</v>
          </cell>
          <cell r="Z501" t="str">
            <v>bks</v>
          </cell>
          <cell r="AA501">
            <v>146000</v>
          </cell>
          <cell r="AB501" t="str">
            <v>dos</v>
          </cell>
        </row>
        <row r="502">
          <cell r="A502" t="str">
            <v>FORTUNE1</v>
          </cell>
          <cell r="B502" t="str">
            <v>Fortune Refill 1 ltr</v>
          </cell>
          <cell r="C502">
            <v>12</v>
          </cell>
          <cell r="D502" t="str">
            <v>dos</v>
          </cell>
          <cell r="E502">
            <v>160000</v>
          </cell>
          <cell r="G502">
            <v>13333.333333333334</v>
          </cell>
          <cell r="H502">
            <v>15000</v>
          </cell>
          <cell r="I502" t="str">
            <v>bks</v>
          </cell>
          <cell r="J502">
            <v>15000</v>
          </cell>
          <cell r="K502" t="str">
            <v>bks</v>
          </cell>
          <cell r="L502">
            <v>14000</v>
          </cell>
          <cell r="M502" t="str">
            <v>bks</v>
          </cell>
        </row>
        <row r="503">
          <cell r="A503" t="str">
            <v>FORTUNE2</v>
          </cell>
          <cell r="B503" t="str">
            <v>Fortune Refill 2 ltr</v>
          </cell>
          <cell r="C503">
            <v>6</v>
          </cell>
          <cell r="D503" t="str">
            <v>dos</v>
          </cell>
          <cell r="E503">
            <v>160000</v>
          </cell>
          <cell r="G503">
            <v>26666.666666666668</v>
          </cell>
          <cell r="H503">
            <v>28500</v>
          </cell>
          <cell r="I503" t="str">
            <v>bks</v>
          </cell>
          <cell r="J503">
            <v>28000</v>
          </cell>
          <cell r="K503" t="str">
            <v>bks</v>
          </cell>
          <cell r="L503">
            <v>27500</v>
          </cell>
          <cell r="M503" t="str">
            <v>bks</v>
          </cell>
          <cell r="AA503">
            <v>163000</v>
          </cell>
          <cell r="AB503" t="str">
            <v>dos</v>
          </cell>
        </row>
        <row r="504">
          <cell r="A504" t="str">
            <v>FORTUNE5</v>
          </cell>
          <cell r="B504" t="str">
            <v>Fortune Refill 5 ltr</v>
          </cell>
          <cell r="C504">
            <v>4</v>
          </cell>
          <cell r="D504" t="str">
            <v>dos</v>
          </cell>
          <cell r="E504">
            <v>245000</v>
          </cell>
          <cell r="G504">
            <v>61250</v>
          </cell>
        </row>
        <row r="505">
          <cell r="A505" t="str">
            <v>FREZZA120</v>
          </cell>
          <cell r="B505" t="str">
            <v>Frezza Obat Kumur 120 ml</v>
          </cell>
          <cell r="C505">
            <v>2</v>
          </cell>
          <cell r="D505" t="str">
            <v>btl</v>
          </cell>
          <cell r="E505">
            <v>17000</v>
          </cell>
          <cell r="F505">
            <v>102000</v>
          </cell>
          <cell r="G505">
            <v>8500</v>
          </cell>
        </row>
        <row r="506">
          <cell r="A506" t="str">
            <v>GARAMP</v>
          </cell>
          <cell r="B506" t="str">
            <v>Garam Pandawa</v>
          </cell>
          <cell r="C506">
            <v>24</v>
          </cell>
          <cell r="D506" t="str">
            <v>bal</v>
          </cell>
          <cell r="E506">
            <v>26000</v>
          </cell>
          <cell r="F506">
            <v>13000</v>
          </cell>
          <cell r="G506">
            <v>1083.3333333333333</v>
          </cell>
          <cell r="H506">
            <v>2000</v>
          </cell>
          <cell r="I506" t="str">
            <v>pc</v>
          </cell>
          <cell r="J506">
            <v>2000</v>
          </cell>
          <cell r="K506" t="str">
            <v>pc</v>
          </cell>
          <cell r="L506">
            <v>2000</v>
          </cell>
          <cell r="M506" t="str">
            <v>pc</v>
          </cell>
          <cell r="Y506">
            <v>2000</v>
          </cell>
          <cell r="Z506" t="str">
            <v>pc</v>
          </cell>
          <cell r="AA506">
            <v>32000</v>
          </cell>
          <cell r="AB506" t="str">
            <v>pak</v>
          </cell>
        </row>
        <row r="507">
          <cell r="A507" t="str">
            <v>GARAMJ</v>
          </cell>
          <cell r="B507" t="str">
            <v>Garam Jempol</v>
          </cell>
          <cell r="C507">
            <v>20</v>
          </cell>
          <cell r="D507" t="str">
            <v>bal</v>
          </cell>
          <cell r="E507">
            <v>29500</v>
          </cell>
          <cell r="F507">
            <v>200000</v>
          </cell>
          <cell r="G507">
            <v>1475</v>
          </cell>
          <cell r="H507">
            <v>2000</v>
          </cell>
          <cell r="AA507">
            <v>33000</v>
          </cell>
        </row>
        <row r="508">
          <cell r="A508" t="str">
            <v>GARAMG</v>
          </cell>
          <cell r="B508" t="str">
            <v>Garam Garami</v>
          </cell>
          <cell r="C508">
            <v>20</v>
          </cell>
          <cell r="D508" t="str">
            <v>bal</v>
          </cell>
          <cell r="E508">
            <v>20000</v>
          </cell>
          <cell r="G508">
            <v>1000</v>
          </cell>
          <cell r="H508">
            <v>1500</v>
          </cell>
          <cell r="I508" t="str">
            <v>pc</v>
          </cell>
          <cell r="J508">
            <v>1500</v>
          </cell>
          <cell r="K508" t="str">
            <v>pc</v>
          </cell>
          <cell r="L508">
            <v>1500</v>
          </cell>
          <cell r="M508" t="str">
            <v>pc</v>
          </cell>
          <cell r="Q508">
            <v>22000</v>
          </cell>
          <cell r="R508">
            <v>18</v>
          </cell>
          <cell r="S508" t="str">
            <v>pak</v>
          </cell>
          <cell r="AA508">
            <v>26000</v>
          </cell>
        </row>
        <row r="509">
          <cell r="A509" t="str">
            <v>GARNIERBB</v>
          </cell>
          <cell r="B509" t="str">
            <v>GARNIER BB 50 gr</v>
          </cell>
          <cell r="C509">
            <v>1</v>
          </cell>
          <cell r="D509" t="str">
            <v>pcs</v>
          </cell>
          <cell r="E509">
            <v>18000</v>
          </cell>
          <cell r="F509">
            <v>216000</v>
          </cell>
          <cell r="G509">
            <v>18000</v>
          </cell>
          <cell r="H509">
            <v>20000</v>
          </cell>
          <cell r="I509" t="str">
            <v>pc</v>
          </cell>
          <cell r="J509">
            <v>20000</v>
          </cell>
          <cell r="K509" t="str">
            <v>pc</v>
          </cell>
          <cell r="L509">
            <v>20000</v>
          </cell>
          <cell r="M509" t="str">
            <v>pc</v>
          </cell>
          <cell r="T509">
            <v>219000</v>
          </cell>
          <cell r="U509">
            <v>12</v>
          </cell>
          <cell r="V509" t="str">
            <v>lsn</v>
          </cell>
          <cell r="W509">
            <v>18500</v>
          </cell>
          <cell r="X509" t="str">
            <v>pc</v>
          </cell>
          <cell r="Y509">
            <v>19000</v>
          </cell>
          <cell r="Z509" t="str">
            <v>pc</v>
          </cell>
        </row>
        <row r="510">
          <cell r="A510" t="str">
            <v>GARNIER1</v>
          </cell>
          <cell r="B510" t="str">
            <v>GARNIER renteng</v>
          </cell>
          <cell r="C510">
            <v>12</v>
          </cell>
          <cell r="D510" t="str">
            <v>pcs</v>
          </cell>
          <cell r="E510">
            <v>48000</v>
          </cell>
          <cell r="G510">
            <v>4000</v>
          </cell>
          <cell r="H510">
            <v>5000</v>
          </cell>
          <cell r="I510" t="str">
            <v>pc</v>
          </cell>
          <cell r="J510">
            <v>5000</v>
          </cell>
          <cell r="K510" t="str">
            <v>pc</v>
          </cell>
          <cell r="L510">
            <v>4500</v>
          </cell>
          <cell r="M510" t="str">
            <v>pc</v>
          </cell>
          <cell r="N510">
            <v>50000</v>
          </cell>
          <cell r="P510" t="str">
            <v>rtg</v>
          </cell>
          <cell r="W510">
            <v>4100</v>
          </cell>
          <cell r="X510" t="str">
            <v>pc</v>
          </cell>
          <cell r="Y510">
            <v>4200</v>
          </cell>
          <cell r="Z510" t="str">
            <v>pc</v>
          </cell>
        </row>
        <row r="511">
          <cell r="A511" t="str">
            <v>GSABUN100</v>
          </cell>
          <cell r="B511" t="str">
            <v>GARNIER SABUN WAJAH 100 gr</v>
          </cell>
          <cell r="C511">
            <v>1</v>
          </cell>
          <cell r="D511" t="str">
            <v>pcs</v>
          </cell>
          <cell r="E511">
            <v>21000</v>
          </cell>
          <cell r="F511">
            <v>252000</v>
          </cell>
          <cell r="G511">
            <v>21000</v>
          </cell>
          <cell r="H511">
            <v>23000</v>
          </cell>
          <cell r="I511" t="str">
            <v>pc</v>
          </cell>
        </row>
        <row r="512">
          <cell r="A512" t="str">
            <v>GSABUN50</v>
          </cell>
          <cell r="B512" t="str">
            <v>GARNIER SABUN WAJAH 50 gr</v>
          </cell>
          <cell r="C512">
            <v>1</v>
          </cell>
          <cell r="D512" t="str">
            <v>pcs</v>
          </cell>
          <cell r="E512">
            <v>13000</v>
          </cell>
          <cell r="F512">
            <v>156000</v>
          </cell>
          <cell r="G512">
            <v>13000</v>
          </cell>
          <cell r="H512">
            <v>16500</v>
          </cell>
          <cell r="I512" t="str">
            <v>pc</v>
          </cell>
          <cell r="J512">
            <v>16500</v>
          </cell>
          <cell r="K512" t="str">
            <v>pc</v>
          </cell>
          <cell r="L512">
            <v>16000</v>
          </cell>
          <cell r="M512" t="str">
            <v>pc</v>
          </cell>
        </row>
        <row r="513">
          <cell r="A513" t="str">
            <v>GCREAMM20</v>
          </cell>
          <cell r="B513" t="str">
            <v>GARNIER CREAM MALAM 20 gr</v>
          </cell>
          <cell r="C513">
            <v>1</v>
          </cell>
          <cell r="D513" t="str">
            <v>pcs</v>
          </cell>
          <cell r="E513">
            <v>20800</v>
          </cell>
          <cell r="F513">
            <v>249600</v>
          </cell>
          <cell r="G513">
            <v>20800</v>
          </cell>
          <cell r="H513">
            <v>23500</v>
          </cell>
          <cell r="I513" t="str">
            <v>pc</v>
          </cell>
          <cell r="J513">
            <v>23500</v>
          </cell>
          <cell r="K513" t="str">
            <v>pc</v>
          </cell>
          <cell r="L513">
            <v>23000</v>
          </cell>
          <cell r="M513" t="str">
            <v>pc</v>
          </cell>
        </row>
        <row r="514">
          <cell r="A514" t="str">
            <v>GCREAMS20</v>
          </cell>
          <cell r="B514" t="str">
            <v>GARNIER CREAM SIANG 20 gr</v>
          </cell>
          <cell r="C514">
            <v>1</v>
          </cell>
          <cell r="D514" t="str">
            <v>pcs</v>
          </cell>
          <cell r="E514">
            <v>16100</v>
          </cell>
          <cell r="F514">
            <v>193200</v>
          </cell>
          <cell r="G514">
            <v>16100</v>
          </cell>
          <cell r="H514">
            <v>18500</v>
          </cell>
          <cell r="I514" t="str">
            <v>pc</v>
          </cell>
          <cell r="J514">
            <v>18500</v>
          </cell>
          <cell r="K514" t="str">
            <v>pc</v>
          </cell>
          <cell r="L514">
            <v>18000</v>
          </cell>
          <cell r="M514" t="str">
            <v>pc</v>
          </cell>
        </row>
        <row r="515">
          <cell r="A515" t="str">
            <v>GELASPOP</v>
          </cell>
          <cell r="B515" t="str">
            <v>Gelas Pop Ice tutup rata No.12,14,16</v>
          </cell>
          <cell r="C515">
            <v>50</v>
          </cell>
          <cell r="D515" t="str">
            <v>pcs</v>
          </cell>
          <cell r="E515">
            <v>9500</v>
          </cell>
          <cell r="F515">
            <v>380000</v>
          </cell>
          <cell r="G515">
            <v>190</v>
          </cell>
          <cell r="Q515">
            <v>11000</v>
          </cell>
          <cell r="R515">
            <v>50</v>
          </cell>
          <cell r="S515" t="str">
            <v>pak</v>
          </cell>
        </row>
        <row r="516">
          <cell r="A516" t="str">
            <v>WAYANG</v>
          </cell>
          <cell r="B516" t="str">
            <v>Gula Halus Wayang</v>
          </cell>
          <cell r="C516">
            <v>20</v>
          </cell>
          <cell r="D516" t="str">
            <v>pcs</v>
          </cell>
          <cell r="E516">
            <v>70000</v>
          </cell>
          <cell r="F516">
            <v>42000</v>
          </cell>
          <cell r="G516">
            <v>3500</v>
          </cell>
          <cell r="H516">
            <v>4500</v>
          </cell>
          <cell r="I516" t="str">
            <v>pc</v>
          </cell>
          <cell r="J516">
            <v>4500</v>
          </cell>
          <cell r="K516" t="str">
            <v>pc</v>
          </cell>
          <cell r="L516">
            <v>4000</v>
          </cell>
          <cell r="M516" t="str">
            <v>pc</v>
          </cell>
          <cell r="T516">
            <v>45000</v>
          </cell>
          <cell r="U516">
            <v>12</v>
          </cell>
          <cell r="V516" t="str">
            <v>lsn</v>
          </cell>
          <cell r="Y516">
            <v>3750</v>
          </cell>
          <cell r="Z516" t="str">
            <v>pc</v>
          </cell>
        </row>
        <row r="517">
          <cell r="A517" t="str">
            <v>JEMPOL</v>
          </cell>
          <cell r="B517" t="str">
            <v>Gula Halus JEMPOL</v>
          </cell>
          <cell r="C517">
            <v>20</v>
          </cell>
          <cell r="D517" t="str">
            <v>pcs</v>
          </cell>
          <cell r="E517">
            <v>70000</v>
          </cell>
          <cell r="F517">
            <v>42000</v>
          </cell>
          <cell r="G517">
            <v>3500</v>
          </cell>
          <cell r="H517">
            <v>5000</v>
          </cell>
          <cell r="I517" t="str">
            <v>pc</v>
          </cell>
          <cell r="J517">
            <v>5000</v>
          </cell>
          <cell r="K517" t="str">
            <v>pc</v>
          </cell>
          <cell r="L517">
            <v>4500</v>
          </cell>
          <cell r="M517" t="str">
            <v>pc</v>
          </cell>
          <cell r="T517">
            <v>47000</v>
          </cell>
          <cell r="U517">
            <v>12</v>
          </cell>
          <cell r="V517" t="str">
            <v>lsn</v>
          </cell>
          <cell r="Y517">
            <v>4000</v>
          </cell>
          <cell r="Z517" t="str">
            <v>pc</v>
          </cell>
        </row>
        <row r="518">
          <cell r="A518" t="str">
            <v>GULAM</v>
          </cell>
          <cell r="B518" t="str">
            <v>Gula Merah</v>
          </cell>
          <cell r="C518">
            <v>15</v>
          </cell>
          <cell r="D518" t="str">
            <v>pcs</v>
          </cell>
          <cell r="E518">
            <v>135000</v>
          </cell>
          <cell r="G518">
            <v>11000</v>
          </cell>
          <cell r="H518">
            <v>12000</v>
          </cell>
          <cell r="I518" t="str">
            <v>pc</v>
          </cell>
          <cell r="J518">
            <v>12000</v>
          </cell>
          <cell r="K518" t="str">
            <v>pc</v>
          </cell>
          <cell r="L518">
            <v>12000</v>
          </cell>
          <cell r="M518" t="str">
            <v>pc</v>
          </cell>
          <cell r="W518">
            <v>10500</v>
          </cell>
          <cell r="X518" t="str">
            <v>pc</v>
          </cell>
        </row>
        <row r="519">
          <cell r="A519" t="str">
            <v>GULAP</v>
          </cell>
          <cell r="B519" t="str">
            <v>Gula PT.PN</v>
          </cell>
          <cell r="C519">
            <v>50</v>
          </cell>
          <cell r="D519" t="str">
            <v>kg</v>
          </cell>
          <cell r="E519">
            <v>700000</v>
          </cell>
          <cell r="G519">
            <v>14000</v>
          </cell>
          <cell r="H519">
            <v>14500</v>
          </cell>
          <cell r="I519" t="str">
            <v>kg</v>
          </cell>
          <cell r="J519">
            <v>14500</v>
          </cell>
          <cell r="K519" t="str">
            <v>kg</v>
          </cell>
          <cell r="L519">
            <v>14500</v>
          </cell>
          <cell r="M519" t="str">
            <v>kg</v>
          </cell>
          <cell r="Y519">
            <v>12500</v>
          </cell>
        </row>
        <row r="520">
          <cell r="A520" t="str">
            <v>GULAKU</v>
          </cell>
          <cell r="B520" t="str">
            <v>Gulaku</v>
          </cell>
          <cell r="C520">
            <v>24</v>
          </cell>
          <cell r="D520" t="str">
            <v>pcs</v>
          </cell>
          <cell r="E520">
            <v>320500</v>
          </cell>
          <cell r="F520">
            <v>160250</v>
          </cell>
          <cell r="G520">
            <v>13354.166666666666</v>
          </cell>
          <cell r="H520">
            <v>12500</v>
          </cell>
          <cell r="J520">
            <v>12500</v>
          </cell>
          <cell r="L520">
            <v>12500</v>
          </cell>
        </row>
        <row r="521">
          <cell r="A521" t="str">
            <v>HARPIC200</v>
          </cell>
          <cell r="B521" t="str">
            <v>Harpic 200 ml</v>
          </cell>
          <cell r="C521">
            <v>24</v>
          </cell>
          <cell r="D521" t="str">
            <v>dos</v>
          </cell>
          <cell r="E521">
            <v>192039</v>
          </cell>
          <cell r="F521">
            <v>96019.5</v>
          </cell>
          <cell r="G521">
            <v>8001.625</v>
          </cell>
          <cell r="H521">
            <v>10000</v>
          </cell>
          <cell r="I521" t="str">
            <v>btl</v>
          </cell>
          <cell r="J521">
            <v>10000</v>
          </cell>
          <cell r="K521" t="str">
            <v>btl</v>
          </cell>
          <cell r="L521">
            <v>9500</v>
          </cell>
          <cell r="M521" t="str">
            <v>btl</v>
          </cell>
        </row>
        <row r="522">
          <cell r="A522" t="str">
            <v>HARPIC450</v>
          </cell>
          <cell r="B522" t="str">
            <v>Harpic 450 ml</v>
          </cell>
          <cell r="C522">
            <v>12</v>
          </cell>
          <cell r="D522" t="str">
            <v>dos</v>
          </cell>
          <cell r="E522">
            <v>203508</v>
          </cell>
          <cell r="F522">
            <v>203508</v>
          </cell>
          <cell r="G522">
            <v>16959</v>
          </cell>
          <cell r="H522">
            <v>19000</v>
          </cell>
          <cell r="I522" t="str">
            <v>btl</v>
          </cell>
          <cell r="J522">
            <v>19000</v>
          </cell>
          <cell r="K522" t="str">
            <v>btl</v>
          </cell>
          <cell r="L522">
            <v>18500</v>
          </cell>
          <cell r="M522" t="str">
            <v>btl</v>
          </cell>
        </row>
        <row r="523">
          <cell r="A523" t="str">
            <v>NUTRISARIJ</v>
          </cell>
          <cell r="B523" t="str">
            <v>NUTRISARI JUS RENTENG</v>
          </cell>
          <cell r="C523">
            <v>12</v>
          </cell>
          <cell r="D523" t="str">
            <v>rtg</v>
          </cell>
          <cell r="E523">
            <v>198000</v>
          </cell>
          <cell r="G523">
            <v>16500</v>
          </cell>
          <cell r="N523">
            <v>17500</v>
          </cell>
          <cell r="P523" t="str">
            <v>rtg</v>
          </cell>
        </row>
        <row r="524">
          <cell r="A524" t="str">
            <v>NUTRISARIR</v>
          </cell>
          <cell r="B524" t="str">
            <v>NUTRISARI RENTENG</v>
          </cell>
          <cell r="C524">
            <v>4</v>
          </cell>
          <cell r="D524" t="str">
            <v>rtg</v>
          </cell>
          <cell r="E524">
            <v>40920</v>
          </cell>
          <cell r="F524">
            <v>163680</v>
          </cell>
          <cell r="G524">
            <v>10230</v>
          </cell>
          <cell r="N524">
            <v>11000</v>
          </cell>
          <cell r="P524" t="str">
            <v>rtg</v>
          </cell>
        </row>
        <row r="525">
          <cell r="A525" t="str">
            <v>NUTRISARI200</v>
          </cell>
          <cell r="B525" t="str">
            <v>NUTRISARI KOTAK 200 ML</v>
          </cell>
          <cell r="C525">
            <v>24</v>
          </cell>
          <cell r="D525" t="str">
            <v>pcs</v>
          </cell>
          <cell r="E525">
            <v>118800</v>
          </cell>
          <cell r="F525">
            <v>59400</v>
          </cell>
          <cell r="G525">
            <v>4950</v>
          </cell>
          <cell r="H525">
            <v>6000</v>
          </cell>
          <cell r="I525" t="str">
            <v>pc</v>
          </cell>
          <cell r="J525">
            <v>6000</v>
          </cell>
          <cell r="K525" t="str">
            <v>pc</v>
          </cell>
          <cell r="L525">
            <v>5300</v>
          </cell>
          <cell r="M525" t="str">
            <v>pc</v>
          </cell>
          <cell r="T525">
            <v>62000</v>
          </cell>
          <cell r="U525">
            <v>12</v>
          </cell>
          <cell r="V525" t="str">
            <v>lsn</v>
          </cell>
          <cell r="W525">
            <v>5100</v>
          </cell>
          <cell r="X525" t="str">
            <v>pcs</v>
          </cell>
          <cell r="Y525">
            <v>5166.666666666667</v>
          </cell>
          <cell r="Z525" t="str">
            <v>pcs</v>
          </cell>
          <cell r="AA525">
            <v>121000</v>
          </cell>
          <cell r="AB525" t="str">
            <v>dos</v>
          </cell>
        </row>
        <row r="526">
          <cell r="A526" t="str">
            <v>HILOB</v>
          </cell>
          <cell r="B526" t="str">
            <v>HILO BIASA RENTENG</v>
          </cell>
          <cell r="C526">
            <v>10</v>
          </cell>
          <cell r="D526" t="str">
            <v>rtg</v>
          </cell>
          <cell r="E526">
            <v>11000</v>
          </cell>
          <cell r="F526">
            <v>165000</v>
          </cell>
          <cell r="G526">
            <v>1100</v>
          </cell>
          <cell r="N526">
            <v>12000</v>
          </cell>
          <cell r="P526" t="str">
            <v>rtg</v>
          </cell>
          <cell r="AA526">
            <v>229000</v>
          </cell>
          <cell r="AB526" t="str">
            <v>dos</v>
          </cell>
        </row>
        <row r="527">
          <cell r="A527" t="str">
            <v>HILOS</v>
          </cell>
          <cell r="B527" t="str">
            <v>HILO SCHOOL RENTENG</v>
          </cell>
          <cell r="C527">
            <v>12</v>
          </cell>
          <cell r="D527" t="str">
            <v>rtg</v>
          </cell>
          <cell r="E527">
            <v>25300</v>
          </cell>
          <cell r="F527">
            <v>101200</v>
          </cell>
          <cell r="G527">
            <v>2108.3333333333335</v>
          </cell>
          <cell r="H527">
            <v>2500</v>
          </cell>
          <cell r="I527" t="str">
            <v>pc</v>
          </cell>
          <cell r="J527">
            <v>2500</v>
          </cell>
          <cell r="K527" t="str">
            <v>pc</v>
          </cell>
          <cell r="L527">
            <v>2500</v>
          </cell>
          <cell r="M527" t="str">
            <v>pc</v>
          </cell>
          <cell r="N527">
            <v>27000</v>
          </cell>
          <cell r="P527" t="str">
            <v>rtg</v>
          </cell>
          <cell r="AA527">
            <v>229000</v>
          </cell>
          <cell r="AB527" t="str">
            <v>dos</v>
          </cell>
        </row>
        <row r="528">
          <cell r="A528" t="str">
            <v>HILO200K</v>
          </cell>
          <cell r="B528" t="str">
            <v>HILO KOTAK 200 ML</v>
          </cell>
          <cell r="C528">
            <v>24</v>
          </cell>
          <cell r="D528" t="str">
            <v>pcs</v>
          </cell>
          <cell r="E528">
            <v>132000</v>
          </cell>
          <cell r="F528">
            <v>66000</v>
          </cell>
          <cell r="G528">
            <v>5500</v>
          </cell>
          <cell r="H528">
            <v>6500</v>
          </cell>
          <cell r="I528" t="str">
            <v>pc</v>
          </cell>
          <cell r="J528">
            <v>6500</v>
          </cell>
          <cell r="K528" t="str">
            <v>pc</v>
          </cell>
          <cell r="L528">
            <v>5900</v>
          </cell>
          <cell r="M528" t="str">
            <v>pc</v>
          </cell>
          <cell r="T528">
            <v>69000</v>
          </cell>
          <cell r="U528">
            <v>12</v>
          </cell>
          <cell r="V528" t="str">
            <v>lsn</v>
          </cell>
          <cell r="W528">
            <v>5700</v>
          </cell>
          <cell r="X528" t="str">
            <v>pcs</v>
          </cell>
          <cell r="Y528">
            <v>5750</v>
          </cell>
          <cell r="Z528" t="str">
            <v>pcs</v>
          </cell>
          <cell r="AA528">
            <v>135000</v>
          </cell>
          <cell r="AB528" t="str">
            <v>dos</v>
          </cell>
        </row>
        <row r="529">
          <cell r="A529" t="str">
            <v>HILO200B</v>
          </cell>
          <cell r="B529" t="str">
            <v>HILO BOTOL ADVOCAD 200 ML</v>
          </cell>
          <cell r="C529">
            <v>24</v>
          </cell>
          <cell r="D529" t="str">
            <v>pcs</v>
          </cell>
          <cell r="E529">
            <v>145200</v>
          </cell>
          <cell r="F529">
            <v>72600</v>
          </cell>
          <cell r="G529">
            <v>6050</v>
          </cell>
          <cell r="H529">
            <v>7000</v>
          </cell>
          <cell r="I529" t="str">
            <v>pc</v>
          </cell>
          <cell r="J529">
            <v>7000</v>
          </cell>
          <cell r="K529" t="str">
            <v>pc</v>
          </cell>
          <cell r="L529">
            <v>6500</v>
          </cell>
          <cell r="M529" t="str">
            <v>pc</v>
          </cell>
          <cell r="T529">
            <v>76000</v>
          </cell>
          <cell r="U529">
            <v>12</v>
          </cell>
          <cell r="V529" t="str">
            <v>lsn</v>
          </cell>
          <cell r="W529">
            <v>6300</v>
          </cell>
          <cell r="X529" t="str">
            <v>pcs</v>
          </cell>
          <cell r="Y529">
            <v>6400</v>
          </cell>
          <cell r="Z529" t="str">
            <v>btl</v>
          </cell>
          <cell r="AA529">
            <v>148500</v>
          </cell>
          <cell r="AB529" t="str">
            <v>dos</v>
          </cell>
        </row>
        <row r="530">
          <cell r="A530" t="str">
            <v>HITALATC</v>
          </cell>
          <cell r="B530" t="str">
            <v>Hit ALAT CAIR</v>
          </cell>
          <cell r="C530">
            <v>1</v>
          </cell>
          <cell r="D530" t="str">
            <v>pcs</v>
          </cell>
          <cell r="E530">
            <v>17000</v>
          </cell>
          <cell r="G530">
            <v>17000</v>
          </cell>
          <cell r="H530">
            <v>19500</v>
          </cell>
          <cell r="I530" t="str">
            <v>pc</v>
          </cell>
          <cell r="J530">
            <v>19500</v>
          </cell>
          <cell r="K530" t="str">
            <v>pc</v>
          </cell>
          <cell r="L530">
            <v>19500</v>
          </cell>
          <cell r="M530" t="str">
            <v>pc</v>
          </cell>
        </row>
        <row r="531">
          <cell r="A531" t="str">
            <v>HITALATM</v>
          </cell>
          <cell r="B531" t="str">
            <v>Hit ALAT MAT</v>
          </cell>
          <cell r="C531">
            <v>1</v>
          </cell>
          <cell r="D531" t="str">
            <v>pcs</v>
          </cell>
          <cell r="E531">
            <v>8000</v>
          </cell>
          <cell r="F531">
            <v>96000</v>
          </cell>
          <cell r="G531">
            <v>8000</v>
          </cell>
          <cell r="H531">
            <v>9500</v>
          </cell>
          <cell r="I531" t="str">
            <v>pc</v>
          </cell>
          <cell r="J531">
            <v>9500</v>
          </cell>
          <cell r="K531" t="str">
            <v>pc</v>
          </cell>
          <cell r="L531">
            <v>9500</v>
          </cell>
          <cell r="M531" t="str">
            <v>pc</v>
          </cell>
          <cell r="T531">
            <v>99500</v>
          </cell>
          <cell r="U531">
            <v>12</v>
          </cell>
          <cell r="V531" t="str">
            <v>lsn</v>
          </cell>
          <cell r="W531">
            <v>8300</v>
          </cell>
          <cell r="X531" t="str">
            <v>pc</v>
          </cell>
          <cell r="Y531">
            <v>8500</v>
          </cell>
          <cell r="Z531" t="str">
            <v>pc</v>
          </cell>
        </row>
        <row r="532">
          <cell r="A532" t="str">
            <v>POMPA</v>
          </cell>
          <cell r="B532" t="str">
            <v>Hit ALAT POMPA CAIR</v>
          </cell>
          <cell r="C532">
            <v>6</v>
          </cell>
          <cell r="D532" t="str">
            <v>pcs</v>
          </cell>
          <cell r="E532">
            <v>90000</v>
          </cell>
          <cell r="F532">
            <v>180000</v>
          </cell>
          <cell r="G532">
            <v>15000</v>
          </cell>
          <cell r="H532">
            <v>17000</v>
          </cell>
          <cell r="I532" t="str">
            <v>pc</v>
          </cell>
          <cell r="J532">
            <v>16500</v>
          </cell>
          <cell r="K532" t="str">
            <v>pc</v>
          </cell>
          <cell r="L532">
            <v>16300</v>
          </cell>
          <cell r="M532" t="str">
            <v>pc</v>
          </cell>
          <cell r="T532">
            <v>183000</v>
          </cell>
          <cell r="U532">
            <v>12</v>
          </cell>
          <cell r="V532" t="str">
            <v>lsn</v>
          </cell>
          <cell r="W532">
            <v>15300</v>
          </cell>
          <cell r="X532" t="str">
            <v>pc</v>
          </cell>
          <cell r="Y532">
            <v>16000</v>
          </cell>
          <cell r="Z532" t="str">
            <v>pc</v>
          </cell>
        </row>
        <row r="533">
          <cell r="A533" t="str">
            <v>HIT45</v>
          </cell>
          <cell r="B533" t="str">
            <v>Hit Cair 45 Malam</v>
          </cell>
          <cell r="C533">
            <v>10</v>
          </cell>
          <cell r="D533" t="str">
            <v>ktk</v>
          </cell>
          <cell r="E533">
            <v>166200</v>
          </cell>
          <cell r="G533">
            <v>16620</v>
          </cell>
          <cell r="H533">
            <v>17000</v>
          </cell>
          <cell r="I533" t="str">
            <v>pc</v>
          </cell>
          <cell r="J533">
            <v>17000</v>
          </cell>
          <cell r="K533" t="str">
            <v>pc</v>
          </cell>
          <cell r="L533">
            <v>17000</v>
          </cell>
          <cell r="M533" t="str">
            <v>pc</v>
          </cell>
        </row>
        <row r="534">
          <cell r="A534" t="str">
            <v>HIT175</v>
          </cell>
          <cell r="B534" t="str">
            <v>Hit EROSOL ISI ULANG 175 ml</v>
          </cell>
          <cell r="C534">
            <v>6</v>
          </cell>
          <cell r="D534" t="str">
            <v>pcs</v>
          </cell>
          <cell r="E534">
            <v>48000</v>
          </cell>
          <cell r="G534">
            <v>8000</v>
          </cell>
          <cell r="H534">
            <v>10000</v>
          </cell>
          <cell r="I534" t="str">
            <v>pc</v>
          </cell>
          <cell r="J534">
            <v>9700</v>
          </cell>
          <cell r="K534" t="str">
            <v>pc</v>
          </cell>
          <cell r="L534">
            <v>9500</v>
          </cell>
          <cell r="M534" t="str">
            <v>pc</v>
          </cell>
        </row>
        <row r="535">
          <cell r="A535" t="str">
            <v>HIT600</v>
          </cell>
          <cell r="B535" t="str">
            <v>Hit semprot 600 ml</v>
          </cell>
          <cell r="C535">
            <v>6</v>
          </cell>
          <cell r="D535" t="str">
            <v>pcs</v>
          </cell>
          <cell r="E535">
            <v>168000</v>
          </cell>
          <cell r="G535">
            <v>28000</v>
          </cell>
          <cell r="H535">
            <v>31000</v>
          </cell>
          <cell r="I535" t="str">
            <v>pc</v>
          </cell>
          <cell r="J535">
            <v>31000</v>
          </cell>
          <cell r="K535" t="str">
            <v>pc</v>
          </cell>
          <cell r="L535">
            <v>31000</v>
          </cell>
          <cell r="M535" t="str">
            <v>pc</v>
          </cell>
        </row>
        <row r="536">
          <cell r="A536" t="str">
            <v>HITMAGIC</v>
          </cell>
          <cell r="B536" t="str">
            <v>Hit MAGIC</v>
          </cell>
          <cell r="C536">
            <v>12</v>
          </cell>
          <cell r="D536" t="str">
            <v>pcs</v>
          </cell>
          <cell r="E536">
            <v>4900</v>
          </cell>
          <cell r="G536">
            <v>408.33333333333331</v>
          </cell>
          <cell r="H536">
            <v>500</v>
          </cell>
          <cell r="I536" t="str">
            <v>pc</v>
          </cell>
          <cell r="J536">
            <v>500</v>
          </cell>
          <cell r="K536" t="str">
            <v>pc</v>
          </cell>
          <cell r="L536">
            <v>500</v>
          </cell>
          <cell r="M536" t="str">
            <v>pc</v>
          </cell>
          <cell r="N536">
            <v>5500</v>
          </cell>
          <cell r="O536">
            <v>12</v>
          </cell>
          <cell r="P536" t="str">
            <v>rtg</v>
          </cell>
        </row>
        <row r="537">
          <cell r="A537" t="str">
            <v>HITMAT18</v>
          </cell>
          <cell r="B537" t="str">
            <v>Hit Mat 18 + 6</v>
          </cell>
          <cell r="C537">
            <v>6</v>
          </cell>
          <cell r="D537" t="str">
            <v>pak</v>
          </cell>
          <cell r="E537">
            <v>31722</v>
          </cell>
          <cell r="G537">
            <v>5287</v>
          </cell>
          <cell r="H537">
            <v>7000</v>
          </cell>
          <cell r="I537" t="str">
            <v>pc</v>
          </cell>
          <cell r="J537">
            <v>6500</v>
          </cell>
          <cell r="K537" t="str">
            <v>pc</v>
          </cell>
          <cell r="L537">
            <v>5800</v>
          </cell>
          <cell r="M537" t="str">
            <v>pc</v>
          </cell>
          <cell r="Q537">
            <v>34000</v>
          </cell>
          <cell r="R537">
            <v>6</v>
          </cell>
          <cell r="S537" t="str">
            <v>pak</v>
          </cell>
          <cell r="W537">
            <v>5600</v>
          </cell>
          <cell r="X537" t="str">
            <v>pc</v>
          </cell>
          <cell r="Y537">
            <v>5300</v>
          </cell>
          <cell r="Z537" t="str">
            <v>pc</v>
          </cell>
        </row>
        <row r="538">
          <cell r="A538" t="str">
            <v>HITMAT48</v>
          </cell>
          <cell r="B538" t="str">
            <v>Hit Mat 48</v>
          </cell>
          <cell r="C538">
            <v>5</v>
          </cell>
          <cell r="D538" t="str">
            <v>pcs</v>
          </cell>
          <cell r="E538">
            <v>55000</v>
          </cell>
          <cell r="F538">
            <v>132000</v>
          </cell>
          <cell r="G538">
            <v>11000</v>
          </cell>
          <cell r="H538">
            <v>14000</v>
          </cell>
          <cell r="I538" t="str">
            <v>pc</v>
          </cell>
          <cell r="J538">
            <v>14000</v>
          </cell>
          <cell r="K538" t="str">
            <v>pc</v>
          </cell>
          <cell r="L538">
            <v>13500</v>
          </cell>
          <cell r="M538" t="str">
            <v>pc</v>
          </cell>
          <cell r="T538">
            <v>136000</v>
          </cell>
          <cell r="U538">
            <v>12</v>
          </cell>
          <cell r="V538" t="str">
            <v>lsn</v>
          </cell>
          <cell r="W538">
            <v>11300</v>
          </cell>
          <cell r="X538" t="str">
            <v>pc</v>
          </cell>
          <cell r="Y538">
            <v>11400</v>
          </cell>
          <cell r="Z538" t="str">
            <v>pc</v>
          </cell>
        </row>
        <row r="539">
          <cell r="A539" t="str">
            <v>HITR</v>
          </cell>
          <cell r="B539" t="str">
            <v>Hit MAT RENTENG</v>
          </cell>
          <cell r="C539">
            <v>12</v>
          </cell>
          <cell r="D539" t="str">
            <v>pcs</v>
          </cell>
          <cell r="E539">
            <v>9500</v>
          </cell>
          <cell r="G539">
            <v>791.66666666666663</v>
          </cell>
          <cell r="H539">
            <v>1000</v>
          </cell>
          <cell r="I539" t="str">
            <v>pc</v>
          </cell>
          <cell r="J539">
            <v>1000</v>
          </cell>
          <cell r="K539" t="str">
            <v>pc</v>
          </cell>
          <cell r="L539">
            <v>1000</v>
          </cell>
          <cell r="M539" t="str">
            <v>pc</v>
          </cell>
          <cell r="N539">
            <v>10500</v>
          </cell>
          <cell r="O539">
            <v>12</v>
          </cell>
          <cell r="P539" t="str">
            <v>rtg</v>
          </cell>
        </row>
        <row r="540">
          <cell r="A540" t="str">
            <v>KRUNCHM</v>
          </cell>
          <cell r="B540" t="str">
            <v>Star Combo / Milo Balls/KOKO KRUNCH</v>
          </cell>
          <cell r="C540">
            <v>48</v>
          </cell>
          <cell r="D540" t="str">
            <v>ktk</v>
          </cell>
          <cell r="E540">
            <v>317220</v>
          </cell>
          <cell r="F540">
            <v>79305</v>
          </cell>
          <cell r="G540">
            <v>6608.75</v>
          </cell>
          <cell r="H540">
            <v>8000</v>
          </cell>
          <cell r="I540" t="str">
            <v>pc</v>
          </cell>
          <cell r="J540">
            <v>8000</v>
          </cell>
          <cell r="K540" t="str">
            <v>pc</v>
          </cell>
          <cell r="L540">
            <v>8000</v>
          </cell>
          <cell r="M540" t="str">
            <v>pc</v>
          </cell>
        </row>
        <row r="541">
          <cell r="A541" t="str">
            <v>miki</v>
          </cell>
          <cell r="B541" t="str">
            <v>ICE CREAM MIKI MIKI</v>
          </cell>
          <cell r="C541">
            <v>60</v>
          </cell>
          <cell r="D541" t="str">
            <v>dus</v>
          </cell>
          <cell r="E541">
            <v>120000</v>
          </cell>
          <cell r="G541">
            <v>2000</v>
          </cell>
          <cell r="H541">
            <v>3500</v>
          </cell>
          <cell r="I541" t="str">
            <v>pc</v>
          </cell>
          <cell r="J541">
            <v>3500</v>
          </cell>
          <cell r="K541" t="str">
            <v>pc</v>
          </cell>
          <cell r="L541">
            <v>3500</v>
          </cell>
          <cell r="M541" t="str">
            <v>pc</v>
          </cell>
        </row>
        <row r="542">
          <cell r="A542" t="str">
            <v>glorycup</v>
          </cell>
          <cell r="B542" t="str">
            <v>ICE CREAM GLORY CUP</v>
          </cell>
          <cell r="C542">
            <v>6</v>
          </cell>
          <cell r="D542" t="str">
            <v>pak</v>
          </cell>
          <cell r="E542">
            <v>19200</v>
          </cell>
          <cell r="G542">
            <v>3200</v>
          </cell>
          <cell r="H542">
            <v>5000</v>
          </cell>
          <cell r="I542" t="str">
            <v>pc</v>
          </cell>
          <cell r="J542">
            <v>5000</v>
          </cell>
          <cell r="K542" t="str">
            <v>pc</v>
          </cell>
          <cell r="L542">
            <v>5000</v>
          </cell>
          <cell r="M542" t="str">
            <v>pc</v>
          </cell>
        </row>
        <row r="543">
          <cell r="A543" t="str">
            <v>JAGUNG</v>
          </cell>
          <cell r="B543" t="str">
            <v>ICE CREAM Sweet Corn/Jagung</v>
          </cell>
          <cell r="C543">
            <v>20</v>
          </cell>
          <cell r="D543" t="str">
            <v>dos</v>
          </cell>
          <cell r="E543">
            <v>90000</v>
          </cell>
          <cell r="F543">
            <v>54000</v>
          </cell>
          <cell r="G543">
            <v>4500</v>
          </cell>
          <cell r="H543">
            <v>6000</v>
          </cell>
          <cell r="I543" t="str">
            <v>pc</v>
          </cell>
          <cell r="J543">
            <v>6000</v>
          </cell>
          <cell r="K543" t="str">
            <v>pc</v>
          </cell>
          <cell r="L543">
            <v>6000</v>
          </cell>
          <cell r="M543" t="str">
            <v>pc</v>
          </cell>
        </row>
        <row r="544">
          <cell r="A544" t="str">
            <v>FANTASY</v>
          </cell>
          <cell r="B544" t="str">
            <v>ICE CREAM FANTASY</v>
          </cell>
          <cell r="C544">
            <v>30</v>
          </cell>
          <cell r="D544" t="str">
            <v>dos</v>
          </cell>
          <cell r="E544">
            <v>72000</v>
          </cell>
          <cell r="F544">
            <v>28800</v>
          </cell>
          <cell r="G544">
            <v>2400</v>
          </cell>
          <cell r="H544">
            <v>4000</v>
          </cell>
          <cell r="I544" t="str">
            <v>pc</v>
          </cell>
          <cell r="J544">
            <v>4000</v>
          </cell>
          <cell r="K544" t="str">
            <v>pc</v>
          </cell>
          <cell r="L544">
            <v>4000</v>
          </cell>
          <cell r="M544" t="str">
            <v>pc</v>
          </cell>
        </row>
        <row r="545">
          <cell r="A545" t="str">
            <v>MOCI</v>
          </cell>
          <cell r="B545" t="str">
            <v>ICE CREAM MOCI</v>
          </cell>
          <cell r="C545">
            <v>40</v>
          </cell>
          <cell r="D545" t="str">
            <v>dos</v>
          </cell>
          <cell r="E545">
            <v>120000</v>
          </cell>
          <cell r="F545">
            <v>36000</v>
          </cell>
          <cell r="G545">
            <v>3000</v>
          </cell>
          <cell r="H545">
            <v>5000</v>
          </cell>
          <cell r="I545" t="str">
            <v>pc</v>
          </cell>
          <cell r="J545">
            <v>5000</v>
          </cell>
          <cell r="K545" t="str">
            <v>pc</v>
          </cell>
          <cell r="L545">
            <v>5000</v>
          </cell>
          <cell r="M545" t="str">
            <v>pc</v>
          </cell>
        </row>
        <row r="546">
          <cell r="A546" t="str">
            <v>TAROCONE</v>
          </cell>
          <cell r="B546" t="str">
            <v>ICE CREAM TARO CONE</v>
          </cell>
          <cell r="C546">
            <v>48</v>
          </cell>
          <cell r="D546" t="str">
            <v>dos</v>
          </cell>
          <cell r="E546">
            <v>240000</v>
          </cell>
          <cell r="F546">
            <v>48000</v>
          </cell>
          <cell r="G546">
            <v>4000</v>
          </cell>
          <cell r="H546">
            <v>6000</v>
          </cell>
          <cell r="I546" t="str">
            <v>pc</v>
          </cell>
          <cell r="J546">
            <v>6000</v>
          </cell>
          <cell r="K546" t="str">
            <v>pc</v>
          </cell>
          <cell r="L546">
            <v>6000</v>
          </cell>
          <cell r="M546" t="str">
            <v>pc</v>
          </cell>
        </row>
        <row r="547">
          <cell r="A547" t="str">
            <v>NANAS</v>
          </cell>
          <cell r="B547" t="str">
            <v>ICE CREAM NANAS</v>
          </cell>
          <cell r="C547">
            <v>50</v>
          </cell>
          <cell r="D547" t="str">
            <v>dos</v>
          </cell>
          <cell r="E547">
            <v>200000</v>
          </cell>
          <cell r="F547">
            <v>48000</v>
          </cell>
          <cell r="G547">
            <v>4000</v>
          </cell>
          <cell r="H547">
            <v>6000</v>
          </cell>
          <cell r="I547" t="str">
            <v>pc</v>
          </cell>
          <cell r="J547">
            <v>6000</v>
          </cell>
          <cell r="K547" t="str">
            <v>pc</v>
          </cell>
          <cell r="L547">
            <v>6000</v>
          </cell>
          <cell r="M547" t="str">
            <v>pc</v>
          </cell>
        </row>
        <row r="548">
          <cell r="A548" t="str">
            <v>MILKSTICK</v>
          </cell>
          <cell r="B548" t="str">
            <v>ICE CREAM MILK STICK</v>
          </cell>
          <cell r="C548">
            <v>50</v>
          </cell>
          <cell r="D548" t="str">
            <v>dos</v>
          </cell>
          <cell r="E548">
            <v>150000</v>
          </cell>
          <cell r="F548">
            <v>36000</v>
          </cell>
          <cell r="G548">
            <v>3000</v>
          </cell>
          <cell r="H548">
            <v>4500</v>
          </cell>
          <cell r="I548" t="str">
            <v>pc</v>
          </cell>
          <cell r="J548">
            <v>4500</v>
          </cell>
          <cell r="K548" t="str">
            <v>pc</v>
          </cell>
          <cell r="L548">
            <v>4500</v>
          </cell>
          <cell r="M548" t="str">
            <v>pc</v>
          </cell>
        </row>
        <row r="549">
          <cell r="A549" t="str">
            <v>SEMANGKA</v>
          </cell>
          <cell r="B549" t="str">
            <v>ICE CREAM SEMANGKA</v>
          </cell>
          <cell r="C549">
            <v>50</v>
          </cell>
          <cell r="D549" t="str">
            <v>dos</v>
          </cell>
          <cell r="E549">
            <v>200000</v>
          </cell>
          <cell r="F549">
            <v>30000</v>
          </cell>
          <cell r="G549">
            <v>2500</v>
          </cell>
          <cell r="H549">
            <v>4000</v>
          </cell>
          <cell r="I549" t="str">
            <v>pc</v>
          </cell>
          <cell r="J549">
            <v>4000</v>
          </cell>
          <cell r="K549" t="str">
            <v>pc</v>
          </cell>
          <cell r="L549">
            <v>4000</v>
          </cell>
          <cell r="M549" t="str">
            <v>pc</v>
          </cell>
        </row>
        <row r="550">
          <cell r="A550" t="str">
            <v>COFICRISPY</v>
          </cell>
          <cell r="B550" t="str">
            <v>ICE CREAM COFFIE CRISPY</v>
          </cell>
          <cell r="C550">
            <v>40</v>
          </cell>
          <cell r="D550" t="str">
            <v>dos</v>
          </cell>
          <cell r="E550">
            <v>200000</v>
          </cell>
          <cell r="F550">
            <v>60000</v>
          </cell>
          <cell r="G550">
            <v>5000</v>
          </cell>
          <cell r="H550">
            <v>7000</v>
          </cell>
          <cell r="I550" t="str">
            <v>pc</v>
          </cell>
          <cell r="J550">
            <v>7000</v>
          </cell>
          <cell r="K550" t="str">
            <v>pc</v>
          </cell>
          <cell r="L550">
            <v>7000</v>
          </cell>
          <cell r="M550" t="str">
            <v>pc</v>
          </cell>
        </row>
        <row r="551">
          <cell r="A551" t="str">
            <v>STRAWBERY</v>
          </cell>
          <cell r="B551" t="str">
            <v>ICE CREAM STRAWBERRY</v>
          </cell>
          <cell r="C551">
            <v>30</v>
          </cell>
          <cell r="D551" t="str">
            <v>dos</v>
          </cell>
          <cell r="E551">
            <v>180000</v>
          </cell>
          <cell r="F551">
            <v>72000</v>
          </cell>
          <cell r="G551">
            <v>6000</v>
          </cell>
          <cell r="H551">
            <v>7500</v>
          </cell>
          <cell r="I551" t="str">
            <v>pc</v>
          </cell>
          <cell r="J551">
            <v>7500</v>
          </cell>
          <cell r="K551" t="str">
            <v>pc</v>
          </cell>
          <cell r="L551">
            <v>7500</v>
          </cell>
          <cell r="M551" t="str">
            <v>pc</v>
          </cell>
        </row>
        <row r="552">
          <cell r="A552" t="str">
            <v>MELON</v>
          </cell>
          <cell r="B552" t="str">
            <v>ICE CREAM MELON</v>
          </cell>
          <cell r="C552">
            <v>40</v>
          </cell>
          <cell r="D552" t="str">
            <v>dos</v>
          </cell>
          <cell r="E552">
            <v>200000</v>
          </cell>
          <cell r="F552">
            <v>60000</v>
          </cell>
          <cell r="G552">
            <v>5000</v>
          </cell>
          <cell r="H552">
            <v>7000</v>
          </cell>
          <cell r="I552" t="str">
            <v>pc</v>
          </cell>
          <cell r="J552">
            <v>7000</v>
          </cell>
          <cell r="K552" t="str">
            <v>pc</v>
          </cell>
          <cell r="L552">
            <v>7000</v>
          </cell>
          <cell r="M552" t="str">
            <v>pc</v>
          </cell>
        </row>
        <row r="553">
          <cell r="A553" t="str">
            <v>MANGGA</v>
          </cell>
          <cell r="B553" t="str">
            <v>ICE CREAM MANGGA LOW FAT</v>
          </cell>
          <cell r="C553">
            <v>30</v>
          </cell>
          <cell r="D553" t="str">
            <v>dos</v>
          </cell>
          <cell r="E553">
            <v>270000</v>
          </cell>
          <cell r="F553">
            <v>108000</v>
          </cell>
          <cell r="G553">
            <v>9000</v>
          </cell>
          <cell r="H553">
            <v>11000</v>
          </cell>
          <cell r="I553" t="str">
            <v>pc</v>
          </cell>
          <cell r="J553">
            <v>11000</v>
          </cell>
          <cell r="K553" t="str">
            <v>pc</v>
          </cell>
          <cell r="L553">
            <v>11000</v>
          </cell>
          <cell r="M553" t="str">
            <v>pc</v>
          </cell>
        </row>
        <row r="554">
          <cell r="A554" t="str">
            <v>COREO</v>
          </cell>
          <cell r="B554" t="str">
            <v>ICE CREAM COKLAT OREO</v>
          </cell>
          <cell r="C554">
            <v>50</v>
          </cell>
          <cell r="D554" t="str">
            <v>dos</v>
          </cell>
          <cell r="E554">
            <v>150000</v>
          </cell>
          <cell r="F554">
            <v>36000</v>
          </cell>
          <cell r="G554">
            <v>3000</v>
          </cell>
          <cell r="H554">
            <v>4500</v>
          </cell>
          <cell r="I554" t="str">
            <v>pc</v>
          </cell>
          <cell r="J554">
            <v>4500</v>
          </cell>
          <cell r="K554" t="str">
            <v>pc</v>
          </cell>
          <cell r="L554">
            <v>4500</v>
          </cell>
          <cell r="M554" t="str">
            <v>pc</v>
          </cell>
        </row>
        <row r="555">
          <cell r="A555" t="str">
            <v>CCRISPY</v>
          </cell>
          <cell r="B555" t="str">
            <v>ICE CREAM COKLAT CRISPY</v>
          </cell>
          <cell r="C555">
            <v>30</v>
          </cell>
          <cell r="D555" t="str">
            <v>dos</v>
          </cell>
          <cell r="E555">
            <v>180000</v>
          </cell>
          <cell r="F555">
            <v>72000</v>
          </cell>
          <cell r="G555">
            <v>6000</v>
          </cell>
          <cell r="H555">
            <v>7500</v>
          </cell>
          <cell r="I555" t="str">
            <v>pc</v>
          </cell>
          <cell r="J555">
            <v>7500</v>
          </cell>
          <cell r="K555" t="str">
            <v>pc</v>
          </cell>
          <cell r="L555">
            <v>7500</v>
          </cell>
          <cell r="M555" t="str">
            <v>pc</v>
          </cell>
        </row>
        <row r="556">
          <cell r="A556" t="str">
            <v>MAGMA</v>
          </cell>
          <cell r="B556" t="str">
            <v>ICE CREAM MAGMA</v>
          </cell>
          <cell r="C556">
            <v>50</v>
          </cell>
          <cell r="D556" t="str">
            <v>dos</v>
          </cell>
          <cell r="E556">
            <v>120000</v>
          </cell>
          <cell r="F556">
            <v>28800</v>
          </cell>
          <cell r="G556">
            <v>2400</v>
          </cell>
          <cell r="H556">
            <v>4000</v>
          </cell>
          <cell r="I556" t="str">
            <v>pc</v>
          </cell>
          <cell r="J556">
            <v>4000</v>
          </cell>
          <cell r="K556" t="str">
            <v>pc</v>
          </cell>
          <cell r="L556">
            <v>4000</v>
          </cell>
          <cell r="M556" t="str">
            <v>pc</v>
          </cell>
        </row>
        <row r="557">
          <cell r="A557" t="str">
            <v>BANANA</v>
          </cell>
          <cell r="B557" t="str">
            <v>ICE CREAM BANANA</v>
          </cell>
          <cell r="C557">
            <v>36</v>
          </cell>
          <cell r="D557" t="str">
            <v>dos</v>
          </cell>
          <cell r="E557">
            <v>162000</v>
          </cell>
          <cell r="F557">
            <v>92400</v>
          </cell>
          <cell r="G557">
            <v>4500</v>
          </cell>
          <cell r="H557">
            <v>6000</v>
          </cell>
          <cell r="I557" t="str">
            <v>pc</v>
          </cell>
          <cell r="J557">
            <v>6000</v>
          </cell>
          <cell r="K557" t="str">
            <v>pc</v>
          </cell>
          <cell r="L557">
            <v>6000</v>
          </cell>
          <cell r="M557" t="str">
            <v>pc</v>
          </cell>
        </row>
        <row r="558">
          <cell r="A558" t="str">
            <v>SUPERMI</v>
          </cell>
          <cell r="B558" t="str">
            <v>Supermi Sop Buntut</v>
          </cell>
          <cell r="C558">
            <v>40</v>
          </cell>
          <cell r="D558" t="str">
            <v>dos</v>
          </cell>
          <cell r="E558">
            <v>85000</v>
          </cell>
          <cell r="F558">
            <v>25500</v>
          </cell>
          <cell r="G558">
            <v>2125</v>
          </cell>
          <cell r="H558">
            <v>2500</v>
          </cell>
          <cell r="I558" t="str">
            <v>pc</v>
          </cell>
          <cell r="J558">
            <v>2500</v>
          </cell>
          <cell r="K558" t="str">
            <v>pc</v>
          </cell>
          <cell r="L558">
            <v>2300</v>
          </cell>
          <cell r="M558" t="str">
            <v>pc</v>
          </cell>
          <cell r="AA558">
            <v>87500</v>
          </cell>
          <cell r="AB558" t="str">
            <v>dos</v>
          </cell>
        </row>
        <row r="559">
          <cell r="A559" t="str">
            <v>IGORENG2</v>
          </cell>
          <cell r="B559" t="str">
            <v>Indomi Goreng isi 2</v>
          </cell>
          <cell r="C559">
            <v>24</v>
          </cell>
          <cell r="D559" t="str">
            <v>dos</v>
          </cell>
          <cell r="E559">
            <v>68500</v>
          </cell>
          <cell r="F559">
            <v>34250</v>
          </cell>
          <cell r="G559">
            <v>2854.1666666666665</v>
          </cell>
        </row>
        <row r="560">
          <cell r="A560" t="str">
            <v>IGORENG2</v>
          </cell>
          <cell r="B560" t="str">
            <v>Indomi Goreng isi 2</v>
          </cell>
          <cell r="C560">
            <v>24</v>
          </cell>
          <cell r="D560" t="str">
            <v>dos</v>
          </cell>
          <cell r="E560">
            <v>68500</v>
          </cell>
          <cell r="F560">
            <v>34250</v>
          </cell>
          <cell r="G560">
            <v>2854.1666666666665</v>
          </cell>
        </row>
        <row r="561">
          <cell r="A561" t="str">
            <v>IGORENG1</v>
          </cell>
          <cell r="B561" t="str">
            <v>Indomi Goreng isi 1</v>
          </cell>
          <cell r="C561">
            <v>40</v>
          </cell>
          <cell r="D561" t="str">
            <v>dos</v>
          </cell>
          <cell r="E561">
            <v>92000</v>
          </cell>
          <cell r="F561">
            <v>27600</v>
          </cell>
          <cell r="G561">
            <v>2300</v>
          </cell>
          <cell r="H561">
            <v>2500</v>
          </cell>
          <cell r="I561" t="str">
            <v>pc</v>
          </cell>
          <cell r="J561">
            <v>2500</v>
          </cell>
          <cell r="K561" t="str">
            <v>pc</v>
          </cell>
          <cell r="L561">
            <v>2500</v>
          </cell>
          <cell r="M561" t="str">
            <v>pc</v>
          </cell>
          <cell r="AA561">
            <v>94000</v>
          </cell>
          <cell r="AB561" t="str">
            <v>dos</v>
          </cell>
        </row>
        <row r="562">
          <cell r="A562" t="str">
            <v>icabeijo</v>
          </cell>
          <cell r="B562" t="str">
            <v>Indomi Goreng Cabe Ijo</v>
          </cell>
          <cell r="C562">
            <v>40</v>
          </cell>
          <cell r="D562" t="str">
            <v>dos</v>
          </cell>
          <cell r="F562">
            <v>0</v>
          </cell>
          <cell r="G562">
            <v>0</v>
          </cell>
        </row>
        <row r="563">
          <cell r="A563" t="str">
            <v>IPEDAS</v>
          </cell>
          <cell r="B563" t="str">
            <v>Indomi Goreng Pedas</v>
          </cell>
          <cell r="C563">
            <v>40</v>
          </cell>
          <cell r="D563" t="str">
            <v>dos</v>
          </cell>
          <cell r="F563">
            <v>0</v>
          </cell>
          <cell r="G563">
            <v>0</v>
          </cell>
        </row>
        <row r="564">
          <cell r="A564" t="str">
            <v>IRENDANG</v>
          </cell>
          <cell r="B564" t="str">
            <v>Indomi Goreng Rendang</v>
          </cell>
          <cell r="C564">
            <v>40</v>
          </cell>
          <cell r="D564" t="str">
            <v>dos</v>
          </cell>
          <cell r="E564">
            <v>87000</v>
          </cell>
          <cell r="F564">
            <v>26100</v>
          </cell>
          <cell r="G564">
            <v>2175</v>
          </cell>
          <cell r="H564">
            <v>2500</v>
          </cell>
          <cell r="I564" t="str">
            <v>pc</v>
          </cell>
          <cell r="J564">
            <v>2500</v>
          </cell>
          <cell r="K564" t="str">
            <v>pc</v>
          </cell>
          <cell r="L564">
            <v>2500</v>
          </cell>
          <cell r="M564" t="str">
            <v>pc</v>
          </cell>
          <cell r="AA564">
            <v>88500</v>
          </cell>
          <cell r="AB564" t="str">
            <v>dos</v>
          </cell>
        </row>
        <row r="565">
          <cell r="A565" t="str">
            <v>IPENYET</v>
          </cell>
          <cell r="B565" t="str">
            <v>Indomi IGA PENYET</v>
          </cell>
          <cell r="C565">
            <v>40</v>
          </cell>
          <cell r="D565" t="str">
            <v>dos</v>
          </cell>
          <cell r="F565">
            <v>0</v>
          </cell>
          <cell r="G565">
            <v>0</v>
          </cell>
        </row>
        <row r="566">
          <cell r="A566" t="str">
            <v>IKALDU</v>
          </cell>
          <cell r="B566" t="str">
            <v>Indomi Kaldu</v>
          </cell>
          <cell r="C566">
            <v>40</v>
          </cell>
          <cell r="D566" t="str">
            <v>dos</v>
          </cell>
          <cell r="E566">
            <v>77000</v>
          </cell>
          <cell r="F566">
            <v>23100</v>
          </cell>
          <cell r="G566">
            <v>1925</v>
          </cell>
          <cell r="H566">
            <v>2500</v>
          </cell>
          <cell r="I566" t="str">
            <v>pc</v>
          </cell>
          <cell r="J566">
            <v>2500</v>
          </cell>
          <cell r="K566" t="str">
            <v>pc</v>
          </cell>
          <cell r="L566">
            <v>2500</v>
          </cell>
          <cell r="M566" t="str">
            <v>pc</v>
          </cell>
          <cell r="AA566">
            <v>80000</v>
          </cell>
          <cell r="AB566" t="str">
            <v>dos</v>
          </cell>
        </row>
        <row r="567">
          <cell r="A567" t="str">
            <v>IKARI</v>
          </cell>
          <cell r="B567" t="str">
            <v>Indomi Kari Ayam/Rica-rica/Sambal/Pedas</v>
          </cell>
          <cell r="C567">
            <v>40</v>
          </cell>
          <cell r="D567" t="str">
            <v>dos</v>
          </cell>
          <cell r="E567">
            <v>98000</v>
          </cell>
          <cell r="F567">
            <v>29400</v>
          </cell>
          <cell r="G567">
            <v>2450</v>
          </cell>
          <cell r="H567">
            <v>3000</v>
          </cell>
          <cell r="I567" t="str">
            <v>pc</v>
          </cell>
          <cell r="J567">
            <v>3000</v>
          </cell>
          <cell r="K567" t="str">
            <v>pc</v>
          </cell>
          <cell r="L567">
            <v>2500</v>
          </cell>
          <cell r="M567" t="str">
            <v>pc</v>
          </cell>
          <cell r="AA567">
            <v>100000</v>
          </cell>
          <cell r="AB567" t="str">
            <v>dos</v>
          </cell>
        </row>
        <row r="568">
          <cell r="A568" t="str">
            <v>ILAMONGAN</v>
          </cell>
          <cell r="B568" t="str">
            <v>Indomi SOTO LAMONGAN</v>
          </cell>
          <cell r="C568">
            <v>40</v>
          </cell>
          <cell r="D568" t="str">
            <v>dos</v>
          </cell>
          <cell r="E568">
            <v>84000</v>
          </cell>
          <cell r="F568">
            <v>25200</v>
          </cell>
          <cell r="G568">
            <v>2100</v>
          </cell>
          <cell r="H568">
            <v>2500</v>
          </cell>
          <cell r="I568" t="str">
            <v>pc</v>
          </cell>
          <cell r="J568">
            <v>2500</v>
          </cell>
          <cell r="K568" t="str">
            <v>pc</v>
          </cell>
          <cell r="L568">
            <v>2500</v>
          </cell>
          <cell r="M568" t="str">
            <v>pc</v>
          </cell>
          <cell r="AA568">
            <v>87000</v>
          </cell>
          <cell r="AB568" t="str">
            <v>dos</v>
          </cell>
        </row>
        <row r="569">
          <cell r="A569" t="str">
            <v>IBANJAR</v>
          </cell>
          <cell r="B569" t="str">
            <v>Indomi Soto Banjar</v>
          </cell>
          <cell r="C569">
            <v>40</v>
          </cell>
          <cell r="D569" t="str">
            <v>dos</v>
          </cell>
          <cell r="E569">
            <v>82000</v>
          </cell>
          <cell r="F569">
            <v>24600</v>
          </cell>
          <cell r="G569">
            <v>2050</v>
          </cell>
          <cell r="H569">
            <v>2500</v>
          </cell>
          <cell r="I569" t="str">
            <v>pc</v>
          </cell>
          <cell r="J569">
            <v>2500</v>
          </cell>
          <cell r="K569" t="str">
            <v>pc</v>
          </cell>
          <cell r="L569">
            <v>2500</v>
          </cell>
          <cell r="M569" t="str">
            <v>pc</v>
          </cell>
          <cell r="AA569">
            <v>85000</v>
          </cell>
          <cell r="AB569" t="str">
            <v>dos</v>
          </cell>
        </row>
        <row r="570">
          <cell r="A570" t="str">
            <v>IMAKASAR</v>
          </cell>
          <cell r="B570" t="str">
            <v>Indomi Soto Makasar</v>
          </cell>
          <cell r="C570">
            <v>40</v>
          </cell>
          <cell r="D570" t="str">
            <v>dos</v>
          </cell>
          <cell r="E570">
            <v>94000</v>
          </cell>
          <cell r="F570">
            <v>28200</v>
          </cell>
          <cell r="G570">
            <v>2350</v>
          </cell>
          <cell r="H570">
            <v>2500</v>
          </cell>
          <cell r="I570" t="str">
            <v>pc</v>
          </cell>
          <cell r="J570">
            <v>2500</v>
          </cell>
          <cell r="K570" t="str">
            <v>pc</v>
          </cell>
          <cell r="L570">
            <v>2500</v>
          </cell>
          <cell r="M570" t="str">
            <v>pc</v>
          </cell>
          <cell r="AA570">
            <v>92500</v>
          </cell>
          <cell r="AB570" t="str">
            <v>dps</v>
          </cell>
        </row>
        <row r="571">
          <cell r="A571" t="str">
            <v>PUCELE75</v>
          </cell>
          <cell r="B571" t="str">
            <v>PARFUM PUCELE 75 MG</v>
          </cell>
          <cell r="C571">
            <v>6</v>
          </cell>
          <cell r="D571" t="str">
            <v>pcs</v>
          </cell>
          <cell r="E571">
            <v>73800</v>
          </cell>
          <cell r="F571">
            <v>147600</v>
          </cell>
          <cell r="G571">
            <v>12300</v>
          </cell>
          <cell r="H571">
            <v>14000</v>
          </cell>
          <cell r="I571" t="str">
            <v>pc</v>
          </cell>
          <cell r="J571">
            <v>14000</v>
          </cell>
          <cell r="K571" t="str">
            <v>pc</v>
          </cell>
          <cell r="L571">
            <v>13500</v>
          </cell>
          <cell r="M571" t="str">
            <v>pc</v>
          </cell>
        </row>
        <row r="572">
          <cell r="A572" t="str">
            <v>PUCELE150</v>
          </cell>
          <cell r="B572" t="str">
            <v>PARFUM PUCELE 150 MG</v>
          </cell>
          <cell r="C572">
            <v>6</v>
          </cell>
          <cell r="D572" t="str">
            <v>pcs</v>
          </cell>
          <cell r="E572">
            <v>106800</v>
          </cell>
          <cell r="F572">
            <v>213600</v>
          </cell>
          <cell r="G572">
            <v>17800</v>
          </cell>
          <cell r="H572">
            <v>20000</v>
          </cell>
          <cell r="I572" t="str">
            <v>pc</v>
          </cell>
          <cell r="J572">
            <v>19500</v>
          </cell>
          <cell r="K572" t="str">
            <v>pc</v>
          </cell>
          <cell r="L572">
            <v>19000</v>
          </cell>
          <cell r="M572" t="str">
            <v>pc</v>
          </cell>
        </row>
        <row r="573">
          <cell r="A573" t="str">
            <v>POSH150</v>
          </cell>
          <cell r="B573" t="str">
            <v>PARFUM POSH 150 MG</v>
          </cell>
          <cell r="C573">
            <v>6</v>
          </cell>
          <cell r="D573" t="str">
            <v>pcs</v>
          </cell>
          <cell r="E573">
            <v>102000</v>
          </cell>
          <cell r="F573">
            <v>204000</v>
          </cell>
          <cell r="G573">
            <v>17000</v>
          </cell>
          <cell r="H573">
            <v>19000</v>
          </cell>
          <cell r="I573" t="str">
            <v>pc</v>
          </cell>
          <cell r="J573">
            <v>18500</v>
          </cell>
          <cell r="K573" t="str">
            <v>pc</v>
          </cell>
          <cell r="L573">
            <v>18000</v>
          </cell>
          <cell r="M573" t="str">
            <v>pc</v>
          </cell>
        </row>
        <row r="574">
          <cell r="A574" t="str">
            <v>POSH50</v>
          </cell>
          <cell r="B574" t="str">
            <v>PARFUM POSH 50 MG</v>
          </cell>
          <cell r="C574">
            <v>6</v>
          </cell>
          <cell r="D574" t="str">
            <v>pcs</v>
          </cell>
          <cell r="E574">
            <v>67200</v>
          </cell>
          <cell r="F574">
            <v>134400</v>
          </cell>
          <cell r="G574">
            <v>11200</v>
          </cell>
          <cell r="H574">
            <v>13500</v>
          </cell>
          <cell r="I574" t="str">
            <v>pc</v>
          </cell>
          <cell r="J574">
            <v>13500</v>
          </cell>
          <cell r="K574" t="str">
            <v>pc</v>
          </cell>
          <cell r="L574">
            <v>13000</v>
          </cell>
          <cell r="M574" t="str">
            <v>pc</v>
          </cell>
        </row>
        <row r="575">
          <cell r="A575" t="str">
            <v>POISE20</v>
          </cell>
          <cell r="B575" t="str">
            <v>POISE CREAM 20 MG</v>
          </cell>
          <cell r="C575">
            <v>6</v>
          </cell>
          <cell r="D575" t="str">
            <v>pcs</v>
          </cell>
          <cell r="E575">
            <v>87000</v>
          </cell>
          <cell r="F575">
            <v>174000</v>
          </cell>
          <cell r="G575">
            <v>14500</v>
          </cell>
          <cell r="H575">
            <v>17500</v>
          </cell>
          <cell r="I575" t="str">
            <v>pc</v>
          </cell>
          <cell r="J575">
            <v>17500</v>
          </cell>
          <cell r="K575" t="str">
            <v>pc</v>
          </cell>
          <cell r="L575">
            <v>17500</v>
          </cell>
          <cell r="M575" t="str">
            <v>pc</v>
          </cell>
        </row>
        <row r="576">
          <cell r="A576" t="str">
            <v>POISE40</v>
          </cell>
          <cell r="B576" t="str">
            <v>POISE CREAM 40 MG</v>
          </cell>
          <cell r="C576">
            <v>6</v>
          </cell>
          <cell r="D576" t="str">
            <v>pcs</v>
          </cell>
          <cell r="E576">
            <v>160800</v>
          </cell>
          <cell r="F576">
            <v>321600</v>
          </cell>
          <cell r="G576">
            <v>26800</v>
          </cell>
          <cell r="H576">
            <v>30000</v>
          </cell>
          <cell r="I576" t="str">
            <v>pc</v>
          </cell>
          <cell r="J576">
            <v>30000</v>
          </cell>
          <cell r="K576" t="str">
            <v>pc</v>
          </cell>
          <cell r="L576">
            <v>29500</v>
          </cell>
          <cell r="M576" t="str">
            <v>pc</v>
          </cell>
        </row>
        <row r="577">
          <cell r="A577" t="str">
            <v>FRES100</v>
          </cell>
          <cell r="B577" t="str">
            <v>PARFUM FRES 100 MG</v>
          </cell>
          <cell r="C577">
            <v>6</v>
          </cell>
          <cell r="D577" t="str">
            <v>pcs</v>
          </cell>
          <cell r="E577">
            <v>55800</v>
          </cell>
          <cell r="F577">
            <v>111600</v>
          </cell>
          <cell r="G577">
            <v>9300</v>
          </cell>
          <cell r="H577">
            <v>11000</v>
          </cell>
          <cell r="I577" t="str">
            <v>pc</v>
          </cell>
          <cell r="J577">
            <v>11000</v>
          </cell>
          <cell r="K577" t="str">
            <v>pc</v>
          </cell>
          <cell r="L577">
            <v>10500</v>
          </cell>
          <cell r="M577" t="str">
            <v>pc</v>
          </cell>
        </row>
        <row r="578">
          <cell r="A578" t="str">
            <v>FRES70</v>
          </cell>
          <cell r="B578" t="str">
            <v>PARFUM FRES 70 MG</v>
          </cell>
          <cell r="C578">
            <v>12</v>
          </cell>
          <cell r="D578" t="str">
            <v>pcs</v>
          </cell>
          <cell r="E578">
            <v>81600</v>
          </cell>
          <cell r="G578">
            <v>6800</v>
          </cell>
          <cell r="H578">
            <v>8000</v>
          </cell>
          <cell r="I578" t="str">
            <v>pc</v>
          </cell>
          <cell r="J578">
            <v>8000</v>
          </cell>
          <cell r="K578" t="str">
            <v>pc</v>
          </cell>
          <cell r="L578">
            <v>7500</v>
          </cell>
          <cell r="M578" t="str">
            <v>pc</v>
          </cell>
        </row>
        <row r="579">
          <cell r="A579" t="str">
            <v>FRES75</v>
          </cell>
          <cell r="B579" t="str">
            <v>PARFUM FRES 75 MG</v>
          </cell>
          <cell r="C579">
            <v>12</v>
          </cell>
          <cell r="D579" t="str">
            <v>pcs</v>
          </cell>
          <cell r="E579">
            <v>60900</v>
          </cell>
          <cell r="G579">
            <v>5075</v>
          </cell>
          <cell r="H579">
            <v>7000</v>
          </cell>
          <cell r="I579" t="str">
            <v>pc</v>
          </cell>
          <cell r="J579">
            <v>7000</v>
          </cell>
          <cell r="K579" t="str">
            <v>pc</v>
          </cell>
          <cell r="L579">
            <v>6500</v>
          </cell>
          <cell r="M579" t="str">
            <v>pc</v>
          </cell>
        </row>
        <row r="580">
          <cell r="A580" t="str">
            <v>JBEDAK75</v>
          </cell>
          <cell r="B580" t="str">
            <v>Bedak Jhonson 75 gr</v>
          </cell>
          <cell r="C580">
            <v>3</v>
          </cell>
          <cell r="D580" t="str">
            <v>pcs</v>
          </cell>
          <cell r="E580">
            <v>18000</v>
          </cell>
          <cell r="G580">
            <v>6000</v>
          </cell>
          <cell r="H580">
            <v>8000</v>
          </cell>
          <cell r="I580" t="str">
            <v>pc</v>
          </cell>
          <cell r="J580">
            <v>8000</v>
          </cell>
          <cell r="K580" t="str">
            <v>pc</v>
          </cell>
          <cell r="L580">
            <v>8000</v>
          </cell>
          <cell r="M580" t="str">
            <v>pc</v>
          </cell>
        </row>
        <row r="581">
          <cell r="A581" t="str">
            <v>JSABUN100</v>
          </cell>
          <cell r="B581" t="str">
            <v>Sabun Jhonson 100 gr</v>
          </cell>
          <cell r="C581">
            <v>6</v>
          </cell>
          <cell r="D581" t="str">
            <v>pcs</v>
          </cell>
          <cell r="E581">
            <v>29106</v>
          </cell>
          <cell r="G581">
            <v>4851</v>
          </cell>
          <cell r="H581">
            <v>6500</v>
          </cell>
          <cell r="I581" t="str">
            <v>pc</v>
          </cell>
          <cell r="J581">
            <v>6500</v>
          </cell>
          <cell r="K581" t="str">
            <v>pc</v>
          </cell>
          <cell r="L581">
            <v>6000</v>
          </cell>
          <cell r="M581" t="str">
            <v>pc</v>
          </cell>
        </row>
        <row r="582">
          <cell r="A582" t="str">
            <v>CSABUN50</v>
          </cell>
          <cell r="B582" t="str">
            <v>Clean n Clear 50</v>
          </cell>
          <cell r="C582">
            <v>3</v>
          </cell>
          <cell r="D582" t="str">
            <v>pc</v>
          </cell>
          <cell r="E582">
            <v>43000</v>
          </cell>
          <cell r="G582">
            <v>14333.333333333334</v>
          </cell>
          <cell r="H582">
            <v>16000</v>
          </cell>
          <cell r="I582" t="str">
            <v>pc</v>
          </cell>
          <cell r="J582">
            <v>16000</v>
          </cell>
          <cell r="K582" t="str">
            <v>pc</v>
          </cell>
          <cell r="L582">
            <v>16000</v>
          </cell>
          <cell r="M582" t="str">
            <v>pc</v>
          </cell>
        </row>
        <row r="583">
          <cell r="A583" t="str">
            <v>CSABUN100</v>
          </cell>
          <cell r="B583" t="str">
            <v>Clean n Clear 100</v>
          </cell>
          <cell r="C583">
            <v>3</v>
          </cell>
          <cell r="D583" t="str">
            <v>pc</v>
          </cell>
          <cell r="E583">
            <v>66000</v>
          </cell>
          <cell r="G583">
            <v>22000</v>
          </cell>
          <cell r="H583">
            <v>24500</v>
          </cell>
          <cell r="I583" t="str">
            <v>pc</v>
          </cell>
          <cell r="J583">
            <v>24500</v>
          </cell>
          <cell r="K583" t="str">
            <v>pc</v>
          </cell>
          <cell r="L583">
            <v>24500</v>
          </cell>
          <cell r="M583" t="str">
            <v>pc</v>
          </cell>
        </row>
        <row r="584">
          <cell r="A584" t="str">
            <v>CALADIN60</v>
          </cell>
          <cell r="B584" t="str">
            <v>CALADIN 60</v>
          </cell>
          <cell r="C584">
            <v>3</v>
          </cell>
          <cell r="D584" t="str">
            <v>pc</v>
          </cell>
          <cell r="E584">
            <v>34650</v>
          </cell>
          <cell r="G584">
            <v>11550</v>
          </cell>
          <cell r="H584">
            <v>13500</v>
          </cell>
          <cell r="I584" t="str">
            <v>pc</v>
          </cell>
          <cell r="J584">
            <v>13500</v>
          </cell>
          <cell r="K584" t="str">
            <v>pc</v>
          </cell>
          <cell r="L584">
            <v>13000</v>
          </cell>
          <cell r="M584" t="str">
            <v>pc</v>
          </cell>
        </row>
        <row r="585">
          <cell r="A585" t="str">
            <v>CALADIN100</v>
          </cell>
          <cell r="B585" t="str">
            <v>CALADIN 100</v>
          </cell>
          <cell r="C585">
            <v>3</v>
          </cell>
          <cell r="D585" t="str">
            <v>pc</v>
          </cell>
          <cell r="E585">
            <v>47850</v>
          </cell>
          <cell r="G585">
            <v>15950</v>
          </cell>
          <cell r="H585">
            <v>18000</v>
          </cell>
          <cell r="I585" t="str">
            <v>pc</v>
          </cell>
          <cell r="J585">
            <v>18000</v>
          </cell>
          <cell r="K585" t="str">
            <v>pc</v>
          </cell>
          <cell r="L585">
            <v>18000</v>
          </cell>
          <cell r="M585" t="str">
            <v>pc</v>
          </cell>
        </row>
        <row r="586">
          <cell r="A586" t="str">
            <v>CALADIN85</v>
          </cell>
          <cell r="B586" t="str">
            <v>CALADIN 85</v>
          </cell>
          <cell r="C586">
            <v>6</v>
          </cell>
          <cell r="D586" t="str">
            <v>pc</v>
          </cell>
          <cell r="E586">
            <v>66000</v>
          </cell>
          <cell r="G586">
            <v>11000</v>
          </cell>
          <cell r="H586">
            <v>12500</v>
          </cell>
          <cell r="I586" t="str">
            <v>pc</v>
          </cell>
          <cell r="J586">
            <v>12500</v>
          </cell>
          <cell r="K586" t="str">
            <v>pc</v>
          </cell>
          <cell r="L586">
            <v>12000</v>
          </cell>
          <cell r="M586" t="str">
            <v>pc</v>
          </cell>
        </row>
        <row r="587">
          <cell r="A587" t="str">
            <v>HIMICO</v>
          </cell>
          <cell r="B587" t="str">
            <v>JELI HIMICO NATA</v>
          </cell>
          <cell r="C587">
            <v>10</v>
          </cell>
          <cell r="D587" t="str">
            <v>rtg</v>
          </cell>
          <cell r="E587">
            <v>4150</v>
          </cell>
          <cell r="F587">
            <v>83000</v>
          </cell>
          <cell r="G587">
            <v>415</v>
          </cell>
          <cell r="N587">
            <v>5000</v>
          </cell>
          <cell r="P587" t="str">
            <v>rtg</v>
          </cell>
          <cell r="AA587">
            <v>43500</v>
          </cell>
          <cell r="AB587" t="str">
            <v>dos</v>
          </cell>
        </row>
        <row r="588">
          <cell r="A588" t="str">
            <v>ZOO</v>
          </cell>
          <cell r="B588" t="str">
            <v>JELI INDRA BINATANG LAUT</v>
          </cell>
          <cell r="C588">
            <v>10</v>
          </cell>
          <cell r="D588" t="str">
            <v>pak</v>
          </cell>
          <cell r="E588">
            <v>4050</v>
          </cell>
          <cell r="F588">
            <v>40500</v>
          </cell>
          <cell r="G588">
            <v>405</v>
          </cell>
          <cell r="H588">
            <v>1000</v>
          </cell>
          <cell r="I588" t="str">
            <v>pc</v>
          </cell>
          <cell r="J588">
            <v>1000</v>
          </cell>
          <cell r="K588" t="str">
            <v>pc</v>
          </cell>
          <cell r="L588">
            <v>1000</v>
          </cell>
          <cell r="M588" t="str">
            <v>pc</v>
          </cell>
          <cell r="Q588">
            <v>5000</v>
          </cell>
          <cell r="R588">
            <v>10</v>
          </cell>
          <cell r="S588" t="str">
            <v>pak</v>
          </cell>
          <cell r="AA588">
            <v>43500</v>
          </cell>
          <cell r="AB588" t="str">
            <v>dos</v>
          </cell>
        </row>
        <row r="589">
          <cell r="A589" t="str">
            <v>JIGGO</v>
          </cell>
          <cell r="B589" t="str">
            <v>Jeli JIGGO Pedang</v>
          </cell>
          <cell r="C589">
            <v>10</v>
          </cell>
          <cell r="D589" t="str">
            <v>pak</v>
          </cell>
          <cell r="E589">
            <v>6812.75</v>
          </cell>
          <cell r="F589">
            <v>54502</v>
          </cell>
          <cell r="G589">
            <v>681.27499999999998</v>
          </cell>
          <cell r="H589">
            <v>1000</v>
          </cell>
          <cell r="I589" t="str">
            <v>pc</v>
          </cell>
          <cell r="J589">
            <v>1000</v>
          </cell>
          <cell r="K589" t="str">
            <v>pc</v>
          </cell>
          <cell r="L589">
            <v>1000</v>
          </cell>
          <cell r="M589" t="str">
            <v>pc</v>
          </cell>
          <cell r="Q589">
            <v>8000</v>
          </cell>
          <cell r="R589">
            <v>10</v>
          </cell>
          <cell r="S589" t="str">
            <v>Pak</v>
          </cell>
          <cell r="AA589">
            <v>57500</v>
          </cell>
          <cell r="AB589" t="str">
            <v>dos</v>
          </cell>
        </row>
        <row r="590">
          <cell r="A590" t="str">
            <v>MIC</v>
          </cell>
          <cell r="B590" t="str">
            <v>JELI MIC</v>
          </cell>
          <cell r="C590">
            <v>10</v>
          </cell>
          <cell r="D590" t="str">
            <v>pak</v>
          </cell>
          <cell r="E590">
            <v>4666.666666666667</v>
          </cell>
          <cell r="F590">
            <v>28000</v>
          </cell>
          <cell r="G590">
            <v>466.66666666666669</v>
          </cell>
          <cell r="H590">
            <v>1000</v>
          </cell>
          <cell r="I590" t="str">
            <v>pc</v>
          </cell>
          <cell r="J590">
            <v>1000</v>
          </cell>
          <cell r="K590" t="str">
            <v>pc</v>
          </cell>
          <cell r="L590">
            <v>1000</v>
          </cell>
          <cell r="M590" t="str">
            <v>pc</v>
          </cell>
          <cell r="Q590">
            <v>5500</v>
          </cell>
          <cell r="R590">
            <v>10</v>
          </cell>
          <cell r="S590" t="str">
            <v>pak</v>
          </cell>
          <cell r="AA590">
            <v>31000</v>
          </cell>
          <cell r="AB590" t="str">
            <v>dos</v>
          </cell>
        </row>
        <row r="591">
          <cell r="A591" t="str">
            <v>ULIR</v>
          </cell>
          <cell r="B591" t="str">
            <v>JELI ULIR isi 10</v>
          </cell>
          <cell r="C591">
            <v>10</v>
          </cell>
          <cell r="D591" t="str">
            <v>pcs</v>
          </cell>
          <cell r="E591">
            <v>4150</v>
          </cell>
          <cell r="F591">
            <v>83000</v>
          </cell>
          <cell r="G591">
            <v>415</v>
          </cell>
          <cell r="H591">
            <v>1000</v>
          </cell>
          <cell r="I591" t="str">
            <v>pc</v>
          </cell>
          <cell r="J591">
            <v>1000</v>
          </cell>
          <cell r="K591" t="str">
            <v>pc</v>
          </cell>
          <cell r="L591">
            <v>1000</v>
          </cell>
          <cell r="M591" t="str">
            <v>pc</v>
          </cell>
          <cell r="Q591">
            <v>4500</v>
          </cell>
          <cell r="R591">
            <v>10</v>
          </cell>
          <cell r="S591" t="str">
            <v>pak</v>
          </cell>
          <cell r="AA591">
            <v>86000</v>
          </cell>
          <cell r="AB591" t="str">
            <v>dos</v>
          </cell>
        </row>
        <row r="592">
          <cell r="A592" t="str">
            <v>SRIWIJAYAR</v>
          </cell>
          <cell r="B592" t="str">
            <v>Jely  Miami Sriwijaya Renteng</v>
          </cell>
          <cell r="C592">
            <v>10</v>
          </cell>
          <cell r="D592" t="str">
            <v>rtg</v>
          </cell>
          <cell r="E592">
            <v>4600</v>
          </cell>
          <cell r="F592">
            <v>46000</v>
          </cell>
          <cell r="G592">
            <v>460</v>
          </cell>
          <cell r="H592">
            <v>1000</v>
          </cell>
          <cell r="I592" t="str">
            <v>pc</v>
          </cell>
          <cell r="J592">
            <v>1000</v>
          </cell>
          <cell r="K592" t="str">
            <v>pc</v>
          </cell>
          <cell r="L592">
            <v>1000</v>
          </cell>
          <cell r="M592" t="str">
            <v>pc</v>
          </cell>
          <cell r="N592">
            <v>5500</v>
          </cell>
          <cell r="O592">
            <v>10</v>
          </cell>
          <cell r="P592" t="str">
            <v>rtg</v>
          </cell>
          <cell r="AA592">
            <v>49000</v>
          </cell>
          <cell r="AB592" t="str">
            <v>dos</v>
          </cell>
        </row>
        <row r="593">
          <cell r="A593" t="str">
            <v>SRIWIJAYA70</v>
          </cell>
          <cell r="B593" t="str">
            <v>Coklat  Sriwijaya Toples isi 70 pc</v>
          </cell>
          <cell r="C593">
            <v>70</v>
          </cell>
          <cell r="D593" t="str">
            <v>pcs</v>
          </cell>
          <cell r="E593">
            <v>28083.333333333332</v>
          </cell>
          <cell r="F593">
            <v>168500</v>
          </cell>
          <cell r="G593">
            <v>401.19047619047615</v>
          </cell>
          <cell r="Q593">
            <v>30000</v>
          </cell>
          <cell r="R593">
            <v>70</v>
          </cell>
          <cell r="S593" t="str">
            <v>tpl</v>
          </cell>
          <cell r="AA593">
            <v>171000</v>
          </cell>
          <cell r="AB593" t="str">
            <v>dos</v>
          </cell>
        </row>
        <row r="594">
          <cell r="A594" t="str">
            <v>SRIWIJAYA25</v>
          </cell>
          <cell r="B594" t="str">
            <v>Sriwijaya Jeli Permen Stick isi 25 pc</v>
          </cell>
          <cell r="C594">
            <v>25</v>
          </cell>
          <cell r="D594" t="str">
            <v>pcs</v>
          </cell>
          <cell r="E594">
            <v>9916.6666666666661</v>
          </cell>
          <cell r="F594">
            <v>119000</v>
          </cell>
          <cell r="G594">
            <v>396.66666666666663</v>
          </cell>
          <cell r="Q594">
            <v>11500</v>
          </cell>
          <cell r="R594">
            <v>25</v>
          </cell>
          <cell r="S594" t="str">
            <v>tpl</v>
          </cell>
          <cell r="AA594">
            <v>121000</v>
          </cell>
          <cell r="AB594" t="str">
            <v>dos</v>
          </cell>
        </row>
        <row r="595">
          <cell r="A595" t="str">
            <v>SARIMANISK</v>
          </cell>
          <cell r="B595" t="str">
            <v>SARIMANIS MIKI KECIL</v>
          </cell>
          <cell r="C595">
            <v>20</v>
          </cell>
          <cell r="D595" t="str">
            <v>pcs</v>
          </cell>
          <cell r="E595">
            <v>38000</v>
          </cell>
          <cell r="G595">
            <v>1900</v>
          </cell>
          <cell r="H595">
            <v>3000</v>
          </cell>
          <cell r="I595" t="str">
            <v>pc</v>
          </cell>
          <cell r="J595">
            <v>3000</v>
          </cell>
          <cell r="K595" t="str">
            <v>pc</v>
          </cell>
          <cell r="L595">
            <v>3000</v>
          </cell>
          <cell r="M595" t="str">
            <v>pc</v>
          </cell>
          <cell r="Q595">
            <v>79000</v>
          </cell>
          <cell r="S595" t="str">
            <v>topl</v>
          </cell>
          <cell r="AA595">
            <v>79000</v>
          </cell>
          <cell r="AB595" t="str">
            <v>dos</v>
          </cell>
        </row>
        <row r="596">
          <cell r="A596" t="str">
            <v>GALONb</v>
          </cell>
          <cell r="B596" t="str">
            <v>JELY GALON BESAR</v>
          </cell>
          <cell r="C596">
            <v>250</v>
          </cell>
          <cell r="D596" t="str">
            <v>top</v>
          </cell>
          <cell r="E596">
            <v>75000</v>
          </cell>
          <cell r="G596">
            <v>300</v>
          </cell>
          <cell r="Q596">
            <v>79000</v>
          </cell>
          <cell r="S596" t="str">
            <v>topl</v>
          </cell>
          <cell r="AA596">
            <v>79000</v>
          </cell>
          <cell r="AB596" t="str">
            <v>dos</v>
          </cell>
        </row>
        <row r="597">
          <cell r="A597" t="str">
            <v>ABUNAWASK</v>
          </cell>
          <cell r="B597" t="str">
            <v>Kacang Abu Nawas Kecil</v>
          </cell>
          <cell r="C597">
            <v>20</v>
          </cell>
          <cell r="D597" t="str">
            <v>rtg</v>
          </cell>
          <cell r="E597">
            <v>8400</v>
          </cell>
          <cell r="F597">
            <v>42000</v>
          </cell>
          <cell r="G597">
            <v>420</v>
          </cell>
          <cell r="H597">
            <v>500</v>
          </cell>
          <cell r="J597">
            <v>500</v>
          </cell>
          <cell r="L597">
            <v>500</v>
          </cell>
          <cell r="Q597">
            <v>9500</v>
          </cell>
          <cell r="S597" t="str">
            <v>pak</v>
          </cell>
          <cell r="W597">
            <v>500</v>
          </cell>
          <cell r="Y597">
            <v>500</v>
          </cell>
        </row>
        <row r="598">
          <cell r="A598" t="str">
            <v>ABUNAWASB</v>
          </cell>
          <cell r="B598" t="str">
            <v>Kacang Abu Nawas BESAR 130 gr</v>
          </cell>
          <cell r="C598">
            <v>20</v>
          </cell>
          <cell r="D598" t="str">
            <v>pcs</v>
          </cell>
          <cell r="E598">
            <v>83000</v>
          </cell>
          <cell r="F598">
            <v>49800</v>
          </cell>
          <cell r="G598">
            <v>4150</v>
          </cell>
          <cell r="H598">
            <v>5000</v>
          </cell>
          <cell r="I598" t="str">
            <v>pc</v>
          </cell>
          <cell r="J598">
            <v>5000</v>
          </cell>
          <cell r="K598" t="str">
            <v>pc</v>
          </cell>
          <cell r="L598">
            <v>4600</v>
          </cell>
          <cell r="M598" t="str">
            <v>pc</v>
          </cell>
          <cell r="T598">
            <v>53000</v>
          </cell>
          <cell r="U598">
            <v>12</v>
          </cell>
          <cell r="V598" t="str">
            <v>lsn</v>
          </cell>
          <cell r="W598">
            <v>4400</v>
          </cell>
          <cell r="X598" t="str">
            <v>pc</v>
          </cell>
          <cell r="Y598">
            <v>4500</v>
          </cell>
          <cell r="Z598" t="str">
            <v>pc</v>
          </cell>
        </row>
        <row r="599">
          <cell r="A599" t="str">
            <v>SUKRO</v>
          </cell>
          <cell r="B599" t="str">
            <v>Sumber Sari Sukro Polong/Putih...</v>
          </cell>
          <cell r="C599">
            <v>20</v>
          </cell>
          <cell r="D599" t="str">
            <v>pak</v>
          </cell>
          <cell r="E599">
            <v>8250</v>
          </cell>
          <cell r="F599">
            <v>49500</v>
          </cell>
          <cell r="G599">
            <v>412.5</v>
          </cell>
          <cell r="Q599">
            <v>9500</v>
          </cell>
          <cell r="R599">
            <v>20</v>
          </cell>
          <cell r="S599" t="str">
            <v>pak</v>
          </cell>
        </row>
        <row r="600">
          <cell r="A600" t="str">
            <v>IKANMAS</v>
          </cell>
          <cell r="B600" t="str">
            <v xml:space="preserve">Kacang Atom Ikan Mas </v>
          </cell>
          <cell r="C600">
            <v>20</v>
          </cell>
          <cell r="D600" t="str">
            <v>pak</v>
          </cell>
          <cell r="E600">
            <v>39500</v>
          </cell>
          <cell r="F600">
            <v>390000</v>
          </cell>
          <cell r="G600">
            <v>1975</v>
          </cell>
          <cell r="H600">
            <v>2500</v>
          </cell>
          <cell r="I600" t="str">
            <v>pc</v>
          </cell>
          <cell r="J600">
            <v>2500</v>
          </cell>
          <cell r="K600" t="str">
            <v>pc</v>
          </cell>
          <cell r="L600">
            <v>2100</v>
          </cell>
          <cell r="M600" t="str">
            <v>pc</v>
          </cell>
          <cell r="Q600">
            <v>41500</v>
          </cell>
          <cell r="R600">
            <v>20</v>
          </cell>
          <cell r="S600" t="str">
            <v>pak</v>
          </cell>
        </row>
        <row r="601">
          <cell r="A601" t="str">
            <v>GATOM130</v>
          </cell>
          <cell r="B601" t="str">
            <v>Kacang Atom Manis Garuda 130 gr</v>
          </cell>
          <cell r="C601">
            <v>10</v>
          </cell>
          <cell r="D601" t="str">
            <v>pak</v>
          </cell>
          <cell r="E601">
            <v>72378</v>
          </cell>
          <cell r="F601">
            <v>434268</v>
          </cell>
          <cell r="G601">
            <v>7237.8</v>
          </cell>
          <cell r="H601">
            <v>8500</v>
          </cell>
          <cell r="I601" t="str">
            <v>pc</v>
          </cell>
          <cell r="J601">
            <v>8000</v>
          </cell>
          <cell r="K601" t="str">
            <v>pc</v>
          </cell>
          <cell r="L601">
            <v>7900</v>
          </cell>
          <cell r="M601" t="str">
            <v>pc</v>
          </cell>
        </row>
        <row r="602">
          <cell r="A602" t="str">
            <v>GATOM200</v>
          </cell>
          <cell r="B602" t="str">
            <v>Kacang Atom Manis Garuda 200 gr</v>
          </cell>
          <cell r="C602">
            <v>10</v>
          </cell>
          <cell r="D602" t="str">
            <v>pak</v>
          </cell>
          <cell r="E602">
            <v>127899.75</v>
          </cell>
          <cell r="F602">
            <v>255799.5</v>
          </cell>
          <cell r="G602">
            <v>12789.975</v>
          </cell>
          <cell r="AB602" t="str">
            <v>dos</v>
          </cell>
        </row>
        <row r="603">
          <cell r="A603" t="str">
            <v>GATOMK</v>
          </cell>
          <cell r="B603" t="str">
            <v>Kacang Atom Manis Garuda 22 gr</v>
          </cell>
          <cell r="C603">
            <v>10</v>
          </cell>
          <cell r="D603" t="str">
            <v>pak</v>
          </cell>
          <cell r="E603">
            <v>7789.9800000000005</v>
          </cell>
          <cell r="F603">
            <v>38949.9</v>
          </cell>
          <cell r="G603">
            <v>778.99800000000005</v>
          </cell>
          <cell r="Q603">
            <v>9000</v>
          </cell>
          <cell r="R603">
            <v>10</v>
          </cell>
          <cell r="S603" t="str">
            <v>pak</v>
          </cell>
          <cell r="AA603">
            <v>41500</v>
          </cell>
          <cell r="AB603" t="str">
            <v>dos</v>
          </cell>
        </row>
        <row r="604">
          <cell r="A604" t="str">
            <v>GPEDAS100</v>
          </cell>
          <cell r="B604" t="str">
            <v>Kacang Atom PEDAS Garuda 100 gr</v>
          </cell>
          <cell r="C604">
            <v>10</v>
          </cell>
          <cell r="D604" t="str">
            <v>pak</v>
          </cell>
          <cell r="E604">
            <v>77187</v>
          </cell>
          <cell r="F604">
            <v>385935</v>
          </cell>
          <cell r="G604">
            <v>7718.7</v>
          </cell>
          <cell r="H604">
            <v>8500</v>
          </cell>
          <cell r="I604" t="str">
            <v>pc</v>
          </cell>
          <cell r="J604">
            <v>8500</v>
          </cell>
          <cell r="K604" t="str">
            <v>pc</v>
          </cell>
          <cell r="L604">
            <v>8000</v>
          </cell>
          <cell r="M604" t="str">
            <v>pc</v>
          </cell>
        </row>
        <row r="605">
          <cell r="A605" t="str">
            <v>kelinci50</v>
          </cell>
          <cell r="B605" t="str">
            <v>Kacang dua kelinci 50 gr</v>
          </cell>
          <cell r="C605">
            <v>10</v>
          </cell>
          <cell r="D605" t="str">
            <v>pak</v>
          </cell>
          <cell r="E605">
            <v>21000</v>
          </cell>
          <cell r="G605">
            <v>2100</v>
          </cell>
        </row>
        <row r="606">
          <cell r="A606" t="str">
            <v>kelinci200</v>
          </cell>
          <cell r="B606" t="str">
            <v>Kacang dua kelinci B 200</v>
          </cell>
          <cell r="C606">
            <v>10</v>
          </cell>
          <cell r="D606" t="str">
            <v>pak</v>
          </cell>
          <cell r="E606">
            <v>87500</v>
          </cell>
          <cell r="F606">
            <v>350000</v>
          </cell>
          <cell r="G606">
            <v>8750</v>
          </cell>
          <cell r="H606">
            <v>10000</v>
          </cell>
          <cell r="I606" t="str">
            <v>bks</v>
          </cell>
          <cell r="J606">
            <v>10000</v>
          </cell>
          <cell r="K606" t="str">
            <v>bks</v>
          </cell>
          <cell r="L606">
            <v>9500</v>
          </cell>
          <cell r="M606" t="str">
            <v>pc</v>
          </cell>
          <cell r="Q606">
            <v>90000</v>
          </cell>
          <cell r="R606">
            <v>10</v>
          </cell>
          <cell r="S606" t="str">
            <v>pak</v>
          </cell>
          <cell r="X606" t="str">
            <v>pc</v>
          </cell>
          <cell r="Y606">
            <v>9000</v>
          </cell>
          <cell r="Z606" t="str">
            <v>pc</v>
          </cell>
        </row>
        <row r="607">
          <cell r="A607" t="str">
            <v>kelinci80</v>
          </cell>
          <cell r="B607" t="str">
            <v>Kacang dua kelinci T 80gr</v>
          </cell>
          <cell r="C607">
            <v>10</v>
          </cell>
          <cell r="D607" t="str">
            <v>pak</v>
          </cell>
          <cell r="E607">
            <v>60600</v>
          </cell>
          <cell r="F607">
            <v>501000</v>
          </cell>
          <cell r="G607">
            <v>6060</v>
          </cell>
          <cell r="H607">
            <v>7000</v>
          </cell>
          <cell r="I607" t="str">
            <v>bks</v>
          </cell>
          <cell r="J607">
            <v>6700</v>
          </cell>
          <cell r="K607" t="str">
            <v>bks</v>
          </cell>
          <cell r="L607">
            <v>6400</v>
          </cell>
          <cell r="M607" t="str">
            <v>bks</v>
          </cell>
          <cell r="Q607">
            <v>63000</v>
          </cell>
          <cell r="S607" t="str">
            <v>pak</v>
          </cell>
          <cell r="W607">
            <v>6200</v>
          </cell>
          <cell r="X607" t="str">
            <v>bks</v>
          </cell>
          <cell r="Z607" t="str">
            <v>bks</v>
          </cell>
        </row>
        <row r="608">
          <cell r="A608" t="str">
            <v>KHIJAU</v>
          </cell>
          <cell r="B608" t="str">
            <v>Kacang Hijau</v>
          </cell>
          <cell r="C608">
            <v>1</v>
          </cell>
          <cell r="D608" t="str">
            <v>kg</v>
          </cell>
          <cell r="E608">
            <v>20000</v>
          </cell>
          <cell r="G608">
            <v>20000</v>
          </cell>
          <cell r="H608">
            <v>21000</v>
          </cell>
          <cell r="I608" t="str">
            <v>kg</v>
          </cell>
          <cell r="J608">
            <v>21000</v>
          </cell>
          <cell r="K608" t="str">
            <v>kg</v>
          </cell>
          <cell r="L608">
            <v>21000</v>
          </cell>
          <cell r="M608" t="str">
            <v>kg</v>
          </cell>
        </row>
        <row r="609">
          <cell r="A609" t="str">
            <v>POLONGH</v>
          </cell>
          <cell r="B609" t="str">
            <v>Kacang Polong Hijau</v>
          </cell>
          <cell r="C609">
            <v>8</v>
          </cell>
          <cell r="D609" t="str">
            <v>kg</v>
          </cell>
          <cell r="E609">
            <v>86000</v>
          </cell>
          <cell r="G609">
            <v>10750</v>
          </cell>
          <cell r="H609">
            <v>14000</v>
          </cell>
          <cell r="I609" t="str">
            <v>bks</v>
          </cell>
          <cell r="J609">
            <v>14000</v>
          </cell>
          <cell r="K609" t="str">
            <v>bks</v>
          </cell>
          <cell r="L609">
            <v>13500</v>
          </cell>
          <cell r="M609" t="str">
            <v>bks</v>
          </cell>
        </row>
        <row r="610">
          <cell r="A610" t="str">
            <v>POLONGT</v>
          </cell>
          <cell r="B610" t="str">
            <v>Kacang Polong Tepung</v>
          </cell>
          <cell r="C610">
            <v>8</v>
          </cell>
          <cell r="D610" t="str">
            <v>kg</v>
          </cell>
          <cell r="E610">
            <v>105000</v>
          </cell>
          <cell r="G610">
            <v>13125</v>
          </cell>
          <cell r="H610">
            <v>16000</v>
          </cell>
          <cell r="I610" t="str">
            <v>bks</v>
          </cell>
          <cell r="J610">
            <v>16000</v>
          </cell>
          <cell r="K610" t="str">
            <v>bks</v>
          </cell>
          <cell r="L610">
            <v>15500</v>
          </cell>
          <cell r="M610" t="str">
            <v>bks</v>
          </cell>
        </row>
        <row r="611">
          <cell r="A611" t="str">
            <v>GRASA15</v>
          </cell>
          <cell r="B611" t="str">
            <v>Kacang Kulit Garuda 15 gr</v>
          </cell>
          <cell r="C611">
            <v>10</v>
          </cell>
          <cell r="D611" t="str">
            <v>pcs</v>
          </cell>
          <cell r="E611">
            <v>7899.9800000000005</v>
          </cell>
          <cell r="F611">
            <v>39499.9</v>
          </cell>
          <cell r="G611">
            <v>789.99800000000005</v>
          </cell>
          <cell r="H611">
            <v>1000</v>
          </cell>
          <cell r="I611" t="str">
            <v>pc</v>
          </cell>
          <cell r="J611">
            <v>1000</v>
          </cell>
          <cell r="K611" t="str">
            <v>pc</v>
          </cell>
          <cell r="L611">
            <v>1000</v>
          </cell>
          <cell r="M611" t="str">
            <v>pc</v>
          </cell>
          <cell r="Q611">
            <v>9000</v>
          </cell>
          <cell r="R611">
            <v>10</v>
          </cell>
          <cell r="S611" t="str">
            <v>pak</v>
          </cell>
          <cell r="AA611">
            <v>42000</v>
          </cell>
          <cell r="AB611" t="str">
            <v>dos</v>
          </cell>
        </row>
        <row r="612">
          <cell r="A612" t="str">
            <v>GKULIT200</v>
          </cell>
          <cell r="B612" t="str">
            <v>Kacang Kulit Garuda 200 gr</v>
          </cell>
          <cell r="C612">
            <v>10</v>
          </cell>
          <cell r="D612" t="str">
            <v>pcs</v>
          </cell>
          <cell r="E612">
            <v>86425.074999999997</v>
          </cell>
          <cell r="F612">
            <v>345700.3</v>
          </cell>
          <cell r="G612">
            <v>8642.5074999999997</v>
          </cell>
        </row>
        <row r="613">
          <cell r="A613" t="str">
            <v>GKULIT70</v>
          </cell>
          <cell r="B613" t="str">
            <v>Kacang Kulit Garuda 70 gr</v>
          </cell>
          <cell r="C613">
            <v>10</v>
          </cell>
          <cell r="D613" t="str">
            <v>pcs</v>
          </cell>
          <cell r="E613">
            <v>35049.96</v>
          </cell>
          <cell r="F613">
            <v>350499.6</v>
          </cell>
          <cell r="G613">
            <v>3504.9960000000001</v>
          </cell>
          <cell r="H613">
            <v>4500</v>
          </cell>
          <cell r="I613" t="str">
            <v>pc</v>
          </cell>
          <cell r="J613">
            <v>4500</v>
          </cell>
          <cell r="K613" t="str">
            <v>pc</v>
          </cell>
          <cell r="L613">
            <v>3900</v>
          </cell>
          <cell r="M613" t="str">
            <v>pc</v>
          </cell>
          <cell r="Q613">
            <v>37000</v>
          </cell>
          <cell r="R613">
            <v>10</v>
          </cell>
          <cell r="S613" t="str">
            <v>pak</v>
          </cell>
          <cell r="W613">
            <v>3600</v>
          </cell>
          <cell r="X613" t="str">
            <v>pc</v>
          </cell>
          <cell r="Y613">
            <v>3700</v>
          </cell>
          <cell r="Z613" t="str">
            <v>pc</v>
          </cell>
        </row>
        <row r="614">
          <cell r="A614" t="str">
            <v>GKULIT250</v>
          </cell>
          <cell r="B614" t="str">
            <v>Kacang Kulit Rasa Garuda 250 gr</v>
          </cell>
          <cell r="C614">
            <v>24</v>
          </cell>
          <cell r="D614" t="str">
            <v>pcs</v>
          </cell>
          <cell r="E614">
            <v>326399.7</v>
          </cell>
          <cell r="F614">
            <v>163199.85</v>
          </cell>
          <cell r="G614">
            <v>13599.987500000001</v>
          </cell>
          <cell r="H614">
            <v>14500</v>
          </cell>
          <cell r="I614" t="str">
            <v>pc</v>
          </cell>
          <cell r="J614">
            <v>14500</v>
          </cell>
          <cell r="K614" t="str">
            <v>pc</v>
          </cell>
          <cell r="L614">
            <v>13950</v>
          </cell>
          <cell r="M614" t="str">
            <v>pc</v>
          </cell>
          <cell r="T614">
            <v>166000</v>
          </cell>
          <cell r="U614">
            <v>12</v>
          </cell>
          <cell r="V614" t="str">
            <v>lsn</v>
          </cell>
          <cell r="W614">
            <v>13800</v>
          </cell>
          <cell r="X614" t="str">
            <v>pc</v>
          </cell>
          <cell r="Y614">
            <v>13833.333333333334</v>
          </cell>
          <cell r="Z614" t="str">
            <v>pc</v>
          </cell>
          <cell r="AA614">
            <v>330000</v>
          </cell>
          <cell r="AB614" t="str">
            <v>dos</v>
          </cell>
        </row>
        <row r="615">
          <cell r="A615" t="str">
            <v>GRASA70</v>
          </cell>
          <cell r="B615" t="str">
            <v>Kacang Kulit Rasa Garuda 70 gr</v>
          </cell>
          <cell r="C615">
            <v>10</v>
          </cell>
          <cell r="D615" t="str">
            <v>pcs</v>
          </cell>
          <cell r="E615">
            <v>33974.875</v>
          </cell>
          <cell r="F615">
            <v>135899.5</v>
          </cell>
          <cell r="G615">
            <v>3397.4875000000002</v>
          </cell>
          <cell r="H615">
            <v>4500</v>
          </cell>
          <cell r="I615" t="str">
            <v>pc</v>
          </cell>
          <cell r="J615">
            <v>4000</v>
          </cell>
          <cell r="K615" t="str">
            <v>pc</v>
          </cell>
          <cell r="L615">
            <v>3700</v>
          </cell>
          <cell r="M615" t="str">
            <v>pc</v>
          </cell>
          <cell r="Q615">
            <v>36000</v>
          </cell>
          <cell r="R615">
            <v>10</v>
          </cell>
          <cell r="S615" t="str">
            <v>pak</v>
          </cell>
          <cell r="W615">
            <v>3500</v>
          </cell>
          <cell r="X615" t="str">
            <v>pc</v>
          </cell>
          <cell r="Y615" t="e">
            <v>#DIV/0!</v>
          </cell>
          <cell r="Z615" t="str">
            <v>pc</v>
          </cell>
          <cell r="AA615">
            <v>138500</v>
          </cell>
          <cell r="AB615" t="str">
            <v>dos</v>
          </cell>
        </row>
        <row r="616">
          <cell r="A616" t="str">
            <v>KTS</v>
          </cell>
          <cell r="B616" t="str">
            <v>Kacang Kupas KTS</v>
          </cell>
          <cell r="C616">
            <v>10</v>
          </cell>
          <cell r="D616" t="str">
            <v>pak</v>
          </cell>
          <cell r="E616">
            <v>405000</v>
          </cell>
          <cell r="G616">
            <v>40500</v>
          </cell>
        </row>
        <row r="617">
          <cell r="A617" t="str">
            <v>KUPAS</v>
          </cell>
          <cell r="B617" t="str">
            <v>Kacang Kupas RRT</v>
          </cell>
          <cell r="C617">
            <v>24</v>
          </cell>
          <cell r="D617" t="str">
            <v>kg</v>
          </cell>
          <cell r="E617">
            <v>630000</v>
          </cell>
          <cell r="G617">
            <v>26250</v>
          </cell>
          <cell r="H617">
            <v>29000</v>
          </cell>
          <cell r="I617" t="str">
            <v>kg</v>
          </cell>
          <cell r="J617">
            <v>29000</v>
          </cell>
          <cell r="K617" t="str">
            <v>kg</v>
          </cell>
          <cell r="L617">
            <v>29000</v>
          </cell>
          <cell r="M617" t="str">
            <v>kg</v>
          </cell>
        </row>
        <row r="618">
          <cell r="A618" t="str">
            <v>ROSTA95</v>
          </cell>
          <cell r="B618" t="str">
            <v>Kacang Rosta Besar 95g</v>
          </cell>
          <cell r="C618">
            <v>10</v>
          </cell>
          <cell r="D618" t="str">
            <v>pcs</v>
          </cell>
          <cell r="E618">
            <v>73566</v>
          </cell>
          <cell r="F618">
            <v>367830</v>
          </cell>
          <cell r="G618">
            <v>7356.6</v>
          </cell>
          <cell r="H618">
            <v>8500</v>
          </cell>
          <cell r="I618" t="str">
            <v>pc</v>
          </cell>
          <cell r="J618">
            <v>8500</v>
          </cell>
          <cell r="K618" t="str">
            <v>pc</v>
          </cell>
          <cell r="L618">
            <v>8000</v>
          </cell>
          <cell r="M618" t="str">
            <v>pc</v>
          </cell>
        </row>
        <row r="619">
          <cell r="A619" t="str">
            <v>ROSTA100</v>
          </cell>
          <cell r="B619" t="str">
            <v>Kacang Rosta Besar 100g</v>
          </cell>
          <cell r="C619">
            <v>10</v>
          </cell>
          <cell r="D619" t="str">
            <v>pcs</v>
          </cell>
          <cell r="E619">
            <v>72428</v>
          </cell>
          <cell r="F619">
            <v>217284</v>
          </cell>
          <cell r="G619">
            <v>7242.8</v>
          </cell>
          <cell r="H619">
            <v>8500</v>
          </cell>
          <cell r="I619" t="str">
            <v>pc</v>
          </cell>
          <cell r="J619">
            <v>8500</v>
          </cell>
          <cell r="K619" t="str">
            <v>pc</v>
          </cell>
          <cell r="L619">
            <v>8000</v>
          </cell>
          <cell r="M619" t="str">
            <v>pc</v>
          </cell>
        </row>
        <row r="620">
          <cell r="A620" t="str">
            <v>ROSTAK</v>
          </cell>
          <cell r="B620" t="str">
            <v>Kacang Rosta Renteng</v>
          </cell>
          <cell r="C620">
            <v>10</v>
          </cell>
          <cell r="D620" t="str">
            <v>rtg</v>
          </cell>
          <cell r="E620">
            <v>7983.25</v>
          </cell>
          <cell r="F620">
            <v>47899.5</v>
          </cell>
          <cell r="G620">
            <v>798.32500000000005</v>
          </cell>
          <cell r="N620">
            <v>9000</v>
          </cell>
          <cell r="P620" t="str">
            <v>rtg</v>
          </cell>
          <cell r="AA620">
            <v>51000</v>
          </cell>
          <cell r="AB620" t="str">
            <v>dos</v>
          </cell>
        </row>
        <row r="621">
          <cell r="A621" t="str">
            <v>TANAH</v>
          </cell>
          <cell r="B621" t="str">
            <v>Kacang Tanah Tuban</v>
          </cell>
          <cell r="C621">
            <v>5</v>
          </cell>
          <cell r="D621" t="str">
            <v>kg</v>
          </cell>
          <cell r="E621">
            <v>130000</v>
          </cell>
          <cell r="G621">
            <v>26000</v>
          </cell>
          <cell r="H621">
            <v>27000</v>
          </cell>
          <cell r="I621" t="str">
            <v>kg</v>
          </cell>
          <cell r="J621">
            <v>27000</v>
          </cell>
          <cell r="K621" t="str">
            <v>kg</v>
          </cell>
          <cell r="L621">
            <v>26500</v>
          </cell>
          <cell r="M621" t="str">
            <v>kg</v>
          </cell>
        </row>
        <row r="622">
          <cell r="A622" t="str">
            <v>GTELUR100</v>
          </cell>
          <cell r="B622" t="str">
            <v>Kacang Telur Garuda 100 gr</v>
          </cell>
          <cell r="C622">
            <v>10</v>
          </cell>
          <cell r="D622" t="str">
            <v>pak</v>
          </cell>
          <cell r="E622">
            <v>42239.340000000004</v>
          </cell>
          <cell r="F622">
            <v>211196.7</v>
          </cell>
          <cell r="G622">
            <v>4223.9340000000002</v>
          </cell>
        </row>
        <row r="623">
          <cell r="A623" t="str">
            <v>GTELUR250</v>
          </cell>
          <cell r="B623" t="str">
            <v>Kacang Telur Garuda 250 gr</v>
          </cell>
          <cell r="C623">
            <v>10</v>
          </cell>
          <cell r="D623" t="str">
            <v>pak</v>
          </cell>
          <cell r="E623">
            <v>119516.65</v>
          </cell>
          <cell r="F623">
            <v>239033.3</v>
          </cell>
          <cell r="G623">
            <v>11951.664999999999</v>
          </cell>
          <cell r="H623">
            <v>13000</v>
          </cell>
          <cell r="I623" t="str">
            <v>pc</v>
          </cell>
          <cell r="J623">
            <v>12700</v>
          </cell>
          <cell r="K623" t="str">
            <v>pc</v>
          </cell>
          <cell r="L623">
            <v>12500</v>
          </cell>
          <cell r="M623" t="str">
            <v>pc</v>
          </cell>
          <cell r="Q623">
            <v>123000</v>
          </cell>
          <cell r="R623">
            <v>10</v>
          </cell>
          <cell r="S623" t="str">
            <v>pak</v>
          </cell>
          <cell r="W623">
            <v>12200</v>
          </cell>
          <cell r="X623" t="str">
            <v>pc</v>
          </cell>
          <cell r="Y623">
            <v>12300</v>
          </cell>
          <cell r="Z623" t="str">
            <v>pc</v>
          </cell>
          <cell r="AA623">
            <v>243000</v>
          </cell>
          <cell r="AB623" t="str">
            <v>dos</v>
          </cell>
        </row>
        <row r="624">
          <cell r="A624" t="str">
            <v>GTELUR26</v>
          </cell>
          <cell r="B624" t="str">
            <v>Kacang Telur Garuda 26 gr</v>
          </cell>
          <cell r="C624">
            <v>20</v>
          </cell>
          <cell r="D624" t="str">
            <v>pcs</v>
          </cell>
          <cell r="E624">
            <v>15566.833333333334</v>
          </cell>
          <cell r="F624">
            <v>46700.5</v>
          </cell>
          <cell r="G624">
            <v>778.3416666666667</v>
          </cell>
          <cell r="Q624">
            <v>17000</v>
          </cell>
          <cell r="R624">
            <v>20</v>
          </cell>
          <cell r="S624" t="str">
            <v>pak</v>
          </cell>
          <cell r="AA624">
            <v>49500</v>
          </cell>
          <cell r="AB624" t="str">
            <v>dos</v>
          </cell>
        </row>
        <row r="625">
          <cell r="A625" t="str">
            <v>GTELUR22</v>
          </cell>
          <cell r="B625" t="str">
            <v>Kacang Telur Garuda 22 gr</v>
          </cell>
          <cell r="C625">
            <v>10</v>
          </cell>
          <cell r="D625" t="str">
            <v>pcs</v>
          </cell>
          <cell r="E625">
            <v>7999.9333333333334</v>
          </cell>
          <cell r="F625">
            <v>47999.6</v>
          </cell>
          <cell r="G625">
            <v>799.99333333333334</v>
          </cell>
          <cell r="Q625">
            <v>9000</v>
          </cell>
          <cell r="R625">
            <v>10</v>
          </cell>
          <cell r="S625" t="str">
            <v>pak</v>
          </cell>
          <cell r="AA625">
            <v>48500</v>
          </cell>
          <cell r="AB625" t="str">
            <v>dos</v>
          </cell>
        </row>
        <row r="626">
          <cell r="A626" t="str">
            <v>TURBO</v>
          </cell>
          <cell r="B626" t="str">
            <v>Kacang Turbo</v>
          </cell>
          <cell r="C626">
            <v>26</v>
          </cell>
          <cell r="D626" t="str">
            <v>pcs</v>
          </cell>
          <cell r="E626">
            <v>70500</v>
          </cell>
          <cell r="F626">
            <v>32538.461538461539</v>
          </cell>
          <cell r="G626">
            <v>2711.5384615384614</v>
          </cell>
        </row>
        <row r="627">
          <cell r="A627" t="str">
            <v>KAPAS</v>
          </cell>
          <cell r="B627" t="str">
            <v>Kapas Melrose</v>
          </cell>
          <cell r="C627">
            <v>24</v>
          </cell>
          <cell r="D627" t="str">
            <v>pak</v>
          </cell>
          <cell r="E627">
            <v>96003</v>
          </cell>
          <cell r="G627">
            <v>4000.125</v>
          </cell>
          <cell r="H627">
            <v>6000</v>
          </cell>
          <cell r="I627" t="str">
            <v>pc</v>
          </cell>
          <cell r="J627">
            <v>6000</v>
          </cell>
          <cell r="K627" t="str">
            <v>pc</v>
          </cell>
          <cell r="L627">
            <v>5500</v>
          </cell>
          <cell r="M627" t="str">
            <v>pc</v>
          </cell>
        </row>
        <row r="628">
          <cell r="A628" t="str">
            <v>SELERAK</v>
          </cell>
          <cell r="B628" t="str">
            <v>Kecap Manis Selera</v>
          </cell>
          <cell r="C628">
            <v>12</v>
          </cell>
          <cell r="D628" t="str">
            <v>pc</v>
          </cell>
          <cell r="E628">
            <v>112000</v>
          </cell>
          <cell r="G628">
            <v>9333.3333333333339</v>
          </cell>
          <cell r="H628">
            <v>11000</v>
          </cell>
          <cell r="I628" t="str">
            <v>btl</v>
          </cell>
          <cell r="J628">
            <v>11000</v>
          </cell>
          <cell r="K628" t="str">
            <v>btl</v>
          </cell>
          <cell r="L628">
            <v>11000</v>
          </cell>
          <cell r="M628" t="str">
            <v>btl</v>
          </cell>
        </row>
        <row r="629">
          <cell r="A629" t="str">
            <v>ABC133</v>
          </cell>
          <cell r="B629" t="str">
            <v>Kecap Asin ABC Kecil 133 GR</v>
          </cell>
          <cell r="C629">
            <v>12</v>
          </cell>
          <cell r="D629" t="str">
            <v>btl</v>
          </cell>
          <cell r="E629">
            <v>46310</v>
          </cell>
          <cell r="F629">
            <v>46310</v>
          </cell>
          <cell r="G629">
            <v>3859.1666666666665</v>
          </cell>
          <cell r="H629">
            <v>5000</v>
          </cell>
          <cell r="I629" t="str">
            <v>btl</v>
          </cell>
          <cell r="J629">
            <v>4500</v>
          </cell>
          <cell r="K629" t="str">
            <v>btl</v>
          </cell>
        </row>
        <row r="630">
          <cell r="A630" t="str">
            <v>BAWANGB</v>
          </cell>
          <cell r="B630" t="str">
            <v>Kecap Asin Bawang Tgl B</v>
          </cell>
          <cell r="C630">
            <v>6</v>
          </cell>
          <cell r="D630" t="str">
            <v>btl</v>
          </cell>
          <cell r="E630">
            <v>70000</v>
          </cell>
          <cell r="G630">
            <v>11666.666666666666</v>
          </cell>
          <cell r="H630">
            <v>13000</v>
          </cell>
          <cell r="I630" t="str">
            <v>btl</v>
          </cell>
          <cell r="J630">
            <v>13000</v>
          </cell>
          <cell r="K630" t="str">
            <v>btl</v>
          </cell>
          <cell r="L630">
            <v>12500</v>
          </cell>
          <cell r="M630" t="str">
            <v>btl</v>
          </cell>
          <cell r="Y630">
            <v>12000</v>
          </cell>
          <cell r="Z630" t="str">
            <v>bt</v>
          </cell>
        </row>
        <row r="631">
          <cell r="A631" t="str">
            <v>BAWANGK</v>
          </cell>
          <cell r="B631" t="str">
            <v>Kecap Asin Bawang Tgl K</v>
          </cell>
          <cell r="C631">
            <v>5</v>
          </cell>
          <cell r="D631" t="str">
            <v>btl</v>
          </cell>
          <cell r="E631">
            <v>42500</v>
          </cell>
          <cell r="G631">
            <v>8500</v>
          </cell>
          <cell r="H631">
            <v>9500</v>
          </cell>
          <cell r="I631" t="str">
            <v>btl</v>
          </cell>
          <cell r="J631">
            <v>9500</v>
          </cell>
          <cell r="K631" t="str">
            <v>btl</v>
          </cell>
          <cell r="L631">
            <v>9000</v>
          </cell>
          <cell r="M631" t="str">
            <v>btl</v>
          </cell>
        </row>
        <row r="632">
          <cell r="A632" t="str">
            <v>ABC70</v>
          </cell>
          <cell r="B632" t="str">
            <v>Kecap Manis ABC 70 ml reff</v>
          </cell>
          <cell r="C632">
            <v>24</v>
          </cell>
          <cell r="D632" t="str">
            <v>pc</v>
          </cell>
          <cell r="E632">
            <v>36000.315999999999</v>
          </cell>
          <cell r="F632">
            <v>18000.157999999999</v>
          </cell>
          <cell r="G632">
            <v>1500.0131666666666</v>
          </cell>
          <cell r="H632">
            <v>2000</v>
          </cell>
          <cell r="I632" t="str">
            <v>pc</v>
          </cell>
          <cell r="J632">
            <v>2000</v>
          </cell>
          <cell r="K632" t="str">
            <v>pc</v>
          </cell>
          <cell r="L632">
            <v>1900</v>
          </cell>
          <cell r="M632" t="str">
            <v>pc</v>
          </cell>
          <cell r="T632">
            <v>21500</v>
          </cell>
          <cell r="U632">
            <v>12</v>
          </cell>
          <cell r="V632" t="str">
            <v>lsn</v>
          </cell>
          <cell r="W632">
            <v>1750</v>
          </cell>
          <cell r="X632" t="str">
            <v>pc</v>
          </cell>
          <cell r="Y632">
            <v>1791.6666666666667</v>
          </cell>
          <cell r="Z632" t="str">
            <v>pc</v>
          </cell>
        </row>
        <row r="633">
          <cell r="A633" t="str">
            <v>ABC135B</v>
          </cell>
          <cell r="B633" t="str">
            <v>Kecap Manis ABC Kecil K 135 ml Biasa</v>
          </cell>
          <cell r="C633">
            <v>48</v>
          </cell>
          <cell r="D633" t="str">
            <v>btl</v>
          </cell>
          <cell r="E633">
            <v>270061.23099999997</v>
          </cell>
          <cell r="F633">
            <v>67515.307749999993</v>
          </cell>
          <cell r="G633">
            <v>5626.2756458333324</v>
          </cell>
          <cell r="H633">
            <v>6500</v>
          </cell>
          <cell r="I633" t="str">
            <v xml:space="preserve"> pc</v>
          </cell>
          <cell r="J633">
            <v>6200</v>
          </cell>
          <cell r="K633" t="str">
            <v xml:space="preserve"> pc</v>
          </cell>
          <cell r="L633">
            <v>5900</v>
          </cell>
          <cell r="M633" t="str">
            <v xml:space="preserve"> pc</v>
          </cell>
          <cell r="T633">
            <v>69500</v>
          </cell>
          <cell r="U633">
            <v>12</v>
          </cell>
          <cell r="V633" t="str">
            <v>lsn</v>
          </cell>
          <cell r="W633">
            <v>5700</v>
          </cell>
          <cell r="X633" t="str">
            <v xml:space="preserve"> pc</v>
          </cell>
          <cell r="Y633">
            <v>5800</v>
          </cell>
          <cell r="Z633" t="str">
            <v xml:space="preserve"> pc</v>
          </cell>
        </row>
        <row r="634">
          <cell r="A634" t="str">
            <v>ABC135P</v>
          </cell>
          <cell r="B634" t="str">
            <v>Kecap Manis ABC Kecil K 135 ml Pedas</v>
          </cell>
          <cell r="C634">
            <v>12</v>
          </cell>
          <cell r="D634" t="str">
            <v>btl</v>
          </cell>
          <cell r="E634">
            <v>79020</v>
          </cell>
          <cell r="F634">
            <v>79020</v>
          </cell>
          <cell r="G634">
            <v>6585</v>
          </cell>
          <cell r="H634">
            <v>7500</v>
          </cell>
          <cell r="I634" t="str">
            <v xml:space="preserve"> pc</v>
          </cell>
          <cell r="J634">
            <v>7300</v>
          </cell>
          <cell r="K634" t="str">
            <v xml:space="preserve"> pc</v>
          </cell>
          <cell r="L634">
            <v>7000</v>
          </cell>
          <cell r="M634" t="str">
            <v xml:space="preserve"> pc</v>
          </cell>
          <cell r="T634">
            <v>82000</v>
          </cell>
          <cell r="U634">
            <v>12</v>
          </cell>
          <cell r="V634" t="str">
            <v>lsn</v>
          </cell>
          <cell r="W634">
            <v>6800</v>
          </cell>
          <cell r="X634" t="str">
            <v xml:space="preserve"> pc</v>
          </cell>
          <cell r="Y634">
            <v>6900</v>
          </cell>
          <cell r="Z634" t="str">
            <v xml:space="preserve"> pc</v>
          </cell>
        </row>
        <row r="635">
          <cell r="A635" t="str">
            <v>ABC600R</v>
          </cell>
          <cell r="B635" t="str">
            <v>Kecap Manis ABC Refill 600 ml</v>
          </cell>
          <cell r="C635">
            <v>12</v>
          </cell>
          <cell r="D635" t="str">
            <v>dos</v>
          </cell>
          <cell r="E635">
            <v>198055.25300000003</v>
          </cell>
          <cell r="G635">
            <v>16504.604416666669</v>
          </cell>
          <cell r="H635">
            <v>17500</v>
          </cell>
          <cell r="I635" t="str">
            <v xml:space="preserve"> pc</v>
          </cell>
          <cell r="J635">
            <v>17000</v>
          </cell>
          <cell r="K635" t="str">
            <v xml:space="preserve"> pc</v>
          </cell>
          <cell r="L635">
            <v>17000</v>
          </cell>
          <cell r="M635" t="str">
            <v xml:space="preserve"> pc</v>
          </cell>
        </row>
        <row r="636">
          <cell r="A636" t="str">
            <v>ABCK1</v>
          </cell>
          <cell r="B636" t="str">
            <v>Kecap Manis ABC Kecil Renteng</v>
          </cell>
          <cell r="C636">
            <v>12</v>
          </cell>
          <cell r="D636" t="str">
            <v>rtg</v>
          </cell>
          <cell r="E636">
            <v>4837.2940000000008</v>
          </cell>
          <cell r="F636">
            <v>116095.05600000001</v>
          </cell>
          <cell r="G636">
            <v>403.10783333333342</v>
          </cell>
          <cell r="N636">
            <v>5500</v>
          </cell>
          <cell r="O636">
            <v>12</v>
          </cell>
          <cell r="P636" t="str">
            <v>rtg</v>
          </cell>
        </row>
        <row r="637">
          <cell r="A637" t="str">
            <v>ABCB1</v>
          </cell>
          <cell r="B637" t="str">
            <v>Kecap Manis ABC Besar Renteng</v>
          </cell>
          <cell r="C637">
            <v>12</v>
          </cell>
          <cell r="D637" t="str">
            <v>rtg</v>
          </cell>
          <cell r="E637">
            <v>10083.333333333334</v>
          </cell>
          <cell r="F637">
            <v>121000</v>
          </cell>
          <cell r="G637">
            <v>840.27777777777783</v>
          </cell>
          <cell r="N637">
            <v>10500</v>
          </cell>
          <cell r="O637">
            <v>12</v>
          </cell>
          <cell r="P637" t="str">
            <v>rtg</v>
          </cell>
          <cell r="AA637">
            <v>123500</v>
          </cell>
          <cell r="AB637" t="str">
            <v>dos</v>
          </cell>
        </row>
        <row r="638">
          <cell r="A638" t="str">
            <v>ABC225</v>
          </cell>
          <cell r="B638" t="str">
            <v>Kecap Manis ABC Tanggung 225 ml</v>
          </cell>
          <cell r="C638">
            <v>6</v>
          </cell>
          <cell r="D638" t="str">
            <v>btl</v>
          </cell>
          <cell r="E638">
            <v>48965.4</v>
          </cell>
          <cell r="F638">
            <v>97930.8</v>
          </cell>
          <cell r="G638">
            <v>8160.9000000000005</v>
          </cell>
          <cell r="H638">
            <v>9000</v>
          </cell>
          <cell r="I638" t="str">
            <v>pc</v>
          </cell>
          <cell r="J638">
            <v>8700</v>
          </cell>
          <cell r="K638" t="str">
            <v>pc</v>
          </cell>
          <cell r="L638">
            <v>8500</v>
          </cell>
          <cell r="M638" t="str">
            <v>pc</v>
          </cell>
        </row>
        <row r="639">
          <cell r="A639" t="str">
            <v>ABC275</v>
          </cell>
          <cell r="B639" t="str">
            <v>Kecap Manis ABC Tanggung 275 ml</v>
          </cell>
          <cell r="C639">
            <v>6</v>
          </cell>
          <cell r="D639" t="str">
            <v>btl</v>
          </cell>
          <cell r="E639">
            <v>78760</v>
          </cell>
          <cell r="F639">
            <v>157520</v>
          </cell>
          <cell r="G639">
            <v>13126.666666666666</v>
          </cell>
          <cell r="H639">
            <v>14000</v>
          </cell>
          <cell r="I639" t="str">
            <v>btl</v>
          </cell>
          <cell r="J639">
            <v>14000</v>
          </cell>
          <cell r="K639" t="str">
            <v>btl</v>
          </cell>
        </row>
        <row r="640">
          <cell r="A640" t="str">
            <v>SEDAP600R</v>
          </cell>
          <cell r="B640" t="str">
            <v>Kecap Manis Sedap 600 ml</v>
          </cell>
          <cell r="C640">
            <v>12</v>
          </cell>
          <cell r="D640" t="str">
            <v>pcs</v>
          </cell>
          <cell r="E640">
            <v>189600</v>
          </cell>
          <cell r="G640">
            <v>15800</v>
          </cell>
          <cell r="H640">
            <v>17000</v>
          </cell>
          <cell r="I640" t="str">
            <v>pc</v>
          </cell>
          <cell r="J640">
            <v>16700</v>
          </cell>
          <cell r="K640" t="str">
            <v>pc</v>
          </cell>
          <cell r="L640">
            <v>16500</v>
          </cell>
          <cell r="M640" t="str">
            <v>pc</v>
          </cell>
          <cell r="T640">
            <v>193000</v>
          </cell>
          <cell r="U640">
            <v>12</v>
          </cell>
          <cell r="V640" t="str">
            <v>lsn</v>
          </cell>
          <cell r="W640">
            <v>16000</v>
          </cell>
          <cell r="X640" t="str">
            <v>pc</v>
          </cell>
          <cell r="Y640">
            <v>16100</v>
          </cell>
          <cell r="Z640" t="str">
            <v>pc</v>
          </cell>
        </row>
        <row r="641">
          <cell r="A641" t="str">
            <v>SEDAPR</v>
          </cell>
          <cell r="B641" t="str">
            <v>Kecap Manis Sedap Renteng isi 18 pc</v>
          </cell>
          <cell r="C641">
            <v>18</v>
          </cell>
          <cell r="D641" t="str">
            <v>pcs</v>
          </cell>
          <cell r="E641">
            <v>4770</v>
          </cell>
          <cell r="F641">
            <v>76320</v>
          </cell>
          <cell r="G641">
            <v>265</v>
          </cell>
          <cell r="N641">
            <v>3500</v>
          </cell>
          <cell r="P641" t="str">
            <v>rtg</v>
          </cell>
          <cell r="Q641">
            <v>6500</v>
          </cell>
          <cell r="S641" t="str">
            <v>pak</v>
          </cell>
        </row>
        <row r="642">
          <cell r="A642" t="str">
            <v>SEDAP135</v>
          </cell>
          <cell r="B642" t="str">
            <v>Kecap Manis Sedap 135 ML</v>
          </cell>
          <cell r="C642">
            <v>24</v>
          </cell>
          <cell r="D642" t="str">
            <v>pcs</v>
          </cell>
          <cell r="E642">
            <v>127080</v>
          </cell>
          <cell r="F642">
            <v>63540</v>
          </cell>
          <cell r="G642">
            <v>5295</v>
          </cell>
          <cell r="H642">
            <v>6000</v>
          </cell>
          <cell r="I642" t="str">
            <v>pc</v>
          </cell>
          <cell r="J642">
            <v>6000</v>
          </cell>
          <cell r="K642" t="str">
            <v>pc</v>
          </cell>
          <cell r="L642">
            <v>5700</v>
          </cell>
          <cell r="M642" t="str">
            <v>pc</v>
          </cell>
          <cell r="T642">
            <v>66000</v>
          </cell>
          <cell r="U642">
            <v>12</v>
          </cell>
          <cell r="V642" t="str">
            <v>lsn</v>
          </cell>
          <cell r="W642">
            <v>5450</v>
          </cell>
          <cell r="X642" t="str">
            <v>pc</v>
          </cell>
          <cell r="Y642">
            <v>5500</v>
          </cell>
          <cell r="Z642" t="str">
            <v>pc</v>
          </cell>
        </row>
        <row r="643">
          <cell r="A643" t="str">
            <v>SEDAP275</v>
          </cell>
          <cell r="B643" t="str">
            <v>Kecap Manis Sedap 275 ML</v>
          </cell>
          <cell r="C643">
            <v>12</v>
          </cell>
          <cell r="D643" t="str">
            <v>pcs</v>
          </cell>
          <cell r="E643">
            <v>126000</v>
          </cell>
          <cell r="F643">
            <v>126000</v>
          </cell>
          <cell r="G643">
            <v>10500</v>
          </cell>
          <cell r="H643">
            <v>11500</v>
          </cell>
          <cell r="I643" t="str">
            <v>pc</v>
          </cell>
          <cell r="J643">
            <v>11000</v>
          </cell>
          <cell r="K643" t="str">
            <v>pc</v>
          </cell>
          <cell r="L643">
            <v>10900</v>
          </cell>
          <cell r="M643" t="str">
            <v>pc</v>
          </cell>
          <cell r="T643">
            <v>129000</v>
          </cell>
          <cell r="U643">
            <v>12</v>
          </cell>
          <cell r="V643" t="str">
            <v>lsn</v>
          </cell>
          <cell r="W643">
            <v>10700</v>
          </cell>
          <cell r="X643" t="str">
            <v>pc</v>
          </cell>
          <cell r="Y643">
            <v>10800</v>
          </cell>
          <cell r="Z643" t="str">
            <v>pc</v>
          </cell>
        </row>
        <row r="644">
          <cell r="A644" t="str">
            <v>SEDAP70</v>
          </cell>
          <cell r="B644" t="str">
            <v>Kecap Manis Sedap 70 ML</v>
          </cell>
          <cell r="C644">
            <v>48</v>
          </cell>
          <cell r="D644" t="str">
            <v>pcs</v>
          </cell>
          <cell r="E644">
            <v>74400</v>
          </cell>
          <cell r="F644">
            <v>18600</v>
          </cell>
          <cell r="G644">
            <v>1550</v>
          </cell>
          <cell r="H644">
            <v>2000</v>
          </cell>
          <cell r="I644" t="str">
            <v>pc</v>
          </cell>
          <cell r="J644">
            <v>2000</v>
          </cell>
          <cell r="K644" t="str">
            <v>pc</v>
          </cell>
          <cell r="L644">
            <v>2000</v>
          </cell>
          <cell r="M644" t="str">
            <v>pc</v>
          </cell>
          <cell r="T644">
            <v>21000</v>
          </cell>
          <cell r="U644">
            <v>12</v>
          </cell>
          <cell r="V644" t="str">
            <v>lsn</v>
          </cell>
          <cell r="W644">
            <v>1750</v>
          </cell>
          <cell r="X644" t="str">
            <v>pc</v>
          </cell>
          <cell r="Y644">
            <v>1750</v>
          </cell>
          <cell r="Z644" t="str">
            <v>pc</v>
          </cell>
        </row>
        <row r="645">
          <cell r="A645" t="str">
            <v>TOPI275</v>
          </cell>
          <cell r="B645" t="str">
            <v>Kecap Manis BENTENG Cap Topi 275ml</v>
          </cell>
          <cell r="C645">
            <v>24</v>
          </cell>
          <cell r="D645" t="str">
            <v>pcs</v>
          </cell>
          <cell r="E645">
            <v>193000</v>
          </cell>
          <cell r="F645">
            <v>96500</v>
          </cell>
          <cell r="G645">
            <v>8041.666666666667</v>
          </cell>
          <cell r="H645">
            <v>9000</v>
          </cell>
          <cell r="I645" t="str">
            <v>bks</v>
          </cell>
          <cell r="J645">
            <v>9000</v>
          </cell>
          <cell r="K645" t="str">
            <v>bks</v>
          </cell>
          <cell r="L645">
            <v>9000</v>
          </cell>
          <cell r="M645" t="str">
            <v>bks</v>
          </cell>
          <cell r="T645">
            <v>99000</v>
          </cell>
          <cell r="U645">
            <v>12</v>
          </cell>
          <cell r="V645" t="str">
            <v>lsn</v>
          </cell>
          <cell r="W645">
            <v>8300</v>
          </cell>
          <cell r="X645" t="str">
            <v>bks</v>
          </cell>
          <cell r="Y645">
            <v>8250</v>
          </cell>
          <cell r="Z645" t="str">
            <v>bks</v>
          </cell>
          <cell r="AA645">
            <v>195000</v>
          </cell>
          <cell r="AB645" t="str">
            <v>dos</v>
          </cell>
        </row>
        <row r="646">
          <cell r="A646" t="str">
            <v>TOPI225</v>
          </cell>
          <cell r="B646" t="str">
            <v>Kecap Manis Cap Topi 225ml</v>
          </cell>
          <cell r="C646">
            <v>24</v>
          </cell>
          <cell r="D646" t="str">
            <v>pcs</v>
          </cell>
          <cell r="E646">
            <v>129000</v>
          </cell>
          <cell r="F646">
            <v>64500</v>
          </cell>
          <cell r="G646">
            <v>5375</v>
          </cell>
        </row>
        <row r="647">
          <cell r="A647" t="str">
            <v>TOPID</v>
          </cell>
          <cell r="B647" t="str">
            <v>Kecap Manis Cap Topi 5 LTR</v>
          </cell>
          <cell r="C647">
            <v>4</v>
          </cell>
          <cell r="D647" t="str">
            <v>pcs</v>
          </cell>
          <cell r="E647">
            <v>317000</v>
          </cell>
          <cell r="G647">
            <v>79250</v>
          </cell>
          <cell r="H647">
            <v>82500</v>
          </cell>
          <cell r="I647" t="str">
            <v>dirj</v>
          </cell>
          <cell r="J647">
            <v>82000</v>
          </cell>
          <cell r="K647" t="str">
            <v>dirj</v>
          </cell>
        </row>
        <row r="648">
          <cell r="A648" t="str">
            <v>TOPI90</v>
          </cell>
          <cell r="B648" t="str">
            <v>Kecap Manis Cap Topi 90ml</v>
          </cell>
          <cell r="C648">
            <v>24</v>
          </cell>
          <cell r="D648" t="str">
            <v>pcs</v>
          </cell>
          <cell r="E648">
            <v>35000</v>
          </cell>
          <cell r="F648">
            <v>17500</v>
          </cell>
          <cell r="G648">
            <v>1458.3333333333333</v>
          </cell>
        </row>
        <row r="649">
          <cell r="A649" t="str">
            <v>TOPIB</v>
          </cell>
          <cell r="B649" t="str">
            <v>Kecap Manis Cap Topi Botol K</v>
          </cell>
          <cell r="C649">
            <v>48</v>
          </cell>
          <cell r="D649" t="str">
            <v>pcs</v>
          </cell>
          <cell r="E649">
            <v>144000</v>
          </cell>
          <cell r="F649">
            <v>36000</v>
          </cell>
          <cell r="G649">
            <v>3000</v>
          </cell>
          <cell r="H649">
            <v>4000</v>
          </cell>
          <cell r="I649" t="str">
            <v>btl</v>
          </cell>
          <cell r="J649">
            <v>4000</v>
          </cell>
          <cell r="K649" t="str">
            <v>btl</v>
          </cell>
          <cell r="L649">
            <v>4000</v>
          </cell>
          <cell r="M649" t="str">
            <v>btl</v>
          </cell>
          <cell r="T649">
            <v>38000</v>
          </cell>
          <cell r="U649">
            <v>12</v>
          </cell>
          <cell r="V649" t="str">
            <v>lsn</v>
          </cell>
          <cell r="W649">
            <v>3100</v>
          </cell>
          <cell r="X649" t="str">
            <v>btl</v>
          </cell>
          <cell r="Y649">
            <v>3166.6666666666665</v>
          </cell>
          <cell r="Z649" t="str">
            <v>btl</v>
          </cell>
          <cell r="AA649">
            <v>147500</v>
          </cell>
          <cell r="AB649" t="str">
            <v>dos</v>
          </cell>
        </row>
        <row r="650">
          <cell r="A650" t="str">
            <v>TOPI600</v>
          </cell>
          <cell r="B650" t="str">
            <v>Kecap Manis Cap Topi Reff PUTIH 610 ml</v>
          </cell>
          <cell r="C650">
            <v>12</v>
          </cell>
          <cell r="D650" t="str">
            <v>pcs</v>
          </cell>
          <cell r="E650">
            <v>131000</v>
          </cell>
          <cell r="G650">
            <v>10916.666666666666</v>
          </cell>
          <cell r="H650">
            <v>12500</v>
          </cell>
          <cell r="I650" t="str">
            <v>bks</v>
          </cell>
          <cell r="J650">
            <v>12000</v>
          </cell>
          <cell r="K650" t="str">
            <v>bks</v>
          </cell>
          <cell r="L650">
            <v>11500</v>
          </cell>
          <cell r="M650" t="str">
            <v>bks</v>
          </cell>
          <cell r="T650">
            <v>134500</v>
          </cell>
          <cell r="U650">
            <v>12</v>
          </cell>
          <cell r="V650" t="str">
            <v>lsn</v>
          </cell>
          <cell r="W650">
            <v>11300</v>
          </cell>
          <cell r="X650" t="str">
            <v>bks</v>
          </cell>
          <cell r="Y650">
            <v>11208.333333333334</v>
          </cell>
          <cell r="Z650" t="str">
            <v>bks</v>
          </cell>
          <cell r="AA650">
            <v>134500</v>
          </cell>
          <cell r="AB650" t="str">
            <v>dos</v>
          </cell>
        </row>
        <row r="651">
          <cell r="A651" t="str">
            <v>TOPI1</v>
          </cell>
          <cell r="B651" t="str">
            <v>Kecap Manis Cap Topi Renteng</v>
          </cell>
          <cell r="C651">
            <v>18</v>
          </cell>
          <cell r="D651" t="str">
            <v>rtg</v>
          </cell>
          <cell r="E651">
            <v>4562.5</v>
          </cell>
          <cell r="F651">
            <v>73000</v>
          </cell>
          <cell r="G651">
            <v>253.47222222222223</v>
          </cell>
          <cell r="Q651">
            <v>5500</v>
          </cell>
          <cell r="S651" t="str">
            <v>pak</v>
          </cell>
          <cell r="AA651">
            <v>78500</v>
          </cell>
          <cell r="AB651" t="str">
            <v>dos</v>
          </cell>
        </row>
        <row r="652">
          <cell r="A652" t="str">
            <v>SELERAK</v>
          </cell>
          <cell r="B652" t="str">
            <v>Kecap Manis Cap SELERA 520 ML</v>
          </cell>
          <cell r="C652">
            <v>12</v>
          </cell>
          <cell r="D652" t="str">
            <v>pcs</v>
          </cell>
          <cell r="E652">
            <v>112000</v>
          </cell>
          <cell r="F652">
            <v>73000</v>
          </cell>
          <cell r="G652">
            <v>9333.3333333333339</v>
          </cell>
          <cell r="H652">
            <v>11000</v>
          </cell>
          <cell r="I652" t="str">
            <v>pc</v>
          </cell>
          <cell r="J652">
            <v>11000</v>
          </cell>
          <cell r="K652" t="str">
            <v>pc</v>
          </cell>
          <cell r="Q652">
            <v>5500</v>
          </cell>
          <cell r="S652" t="str">
            <v>pak</v>
          </cell>
          <cell r="AA652">
            <v>78500</v>
          </cell>
          <cell r="AB652" t="str">
            <v>dos</v>
          </cell>
        </row>
        <row r="653">
          <cell r="A653" t="str">
            <v>ASIN300</v>
          </cell>
          <cell r="B653" t="str">
            <v>Kecap Asin Cap Topi 300 ml reff</v>
          </cell>
          <cell r="C653">
            <v>12</v>
          </cell>
          <cell r="D653" t="str">
            <v>pcs</v>
          </cell>
          <cell r="E653">
            <v>112000</v>
          </cell>
          <cell r="F653">
            <v>112000</v>
          </cell>
          <cell r="G653">
            <v>9333.3333333333339</v>
          </cell>
          <cell r="H653">
            <v>11000</v>
          </cell>
          <cell r="I653" t="str">
            <v>pc</v>
          </cell>
          <cell r="J653">
            <v>11000</v>
          </cell>
          <cell r="K653" t="str">
            <v>pc</v>
          </cell>
          <cell r="L653">
            <v>10500</v>
          </cell>
          <cell r="M653" t="str">
            <v>pc</v>
          </cell>
        </row>
        <row r="654">
          <cell r="A654" t="str">
            <v>QEJU</v>
          </cell>
          <cell r="B654" t="str">
            <v>Keju QEJU BLOCK 175 GR</v>
          </cell>
          <cell r="C654">
            <v>48</v>
          </cell>
          <cell r="D654" t="str">
            <v>pcs</v>
          </cell>
          <cell r="E654">
            <v>427632</v>
          </cell>
          <cell r="F654">
            <v>106908</v>
          </cell>
          <cell r="G654">
            <v>8909</v>
          </cell>
          <cell r="H654">
            <v>12000</v>
          </cell>
          <cell r="I654" t="str">
            <v>pc</v>
          </cell>
          <cell r="J654">
            <v>12000</v>
          </cell>
          <cell r="K654" t="str">
            <v>pc</v>
          </cell>
          <cell r="L654">
            <v>12000</v>
          </cell>
          <cell r="M654" t="str">
            <v>pc</v>
          </cell>
        </row>
        <row r="655">
          <cell r="A655" t="str">
            <v>KRAFT1</v>
          </cell>
          <cell r="B655" t="str">
            <v>Keju Kraft Renteng</v>
          </cell>
          <cell r="C655">
            <v>8</v>
          </cell>
          <cell r="D655" t="str">
            <v>rtg</v>
          </cell>
          <cell r="E655">
            <v>34196.777777777781</v>
          </cell>
          <cell r="F655">
            <v>615542</v>
          </cell>
          <cell r="G655">
            <v>4274.5972222222226</v>
          </cell>
          <cell r="H655">
            <v>5000</v>
          </cell>
          <cell r="I655" t="str">
            <v>pc</v>
          </cell>
          <cell r="J655">
            <v>4700</v>
          </cell>
          <cell r="K655" t="str">
            <v>pc</v>
          </cell>
          <cell r="L655">
            <v>4500</v>
          </cell>
          <cell r="M655" t="str">
            <v>pc</v>
          </cell>
          <cell r="N655">
            <v>36000</v>
          </cell>
          <cell r="P655" t="str">
            <v>rtg</v>
          </cell>
          <cell r="W655">
            <v>4450</v>
          </cell>
          <cell r="X655" t="str">
            <v>pc</v>
          </cell>
          <cell r="Y655">
            <v>4400</v>
          </cell>
          <cell r="Z655" t="str">
            <v>pc</v>
          </cell>
        </row>
        <row r="656">
          <cell r="A656" t="str">
            <v>PROCIS</v>
          </cell>
          <cell r="B656" t="str">
            <v>PROCIS GOLD</v>
          </cell>
          <cell r="C656">
            <v>12</v>
          </cell>
          <cell r="D656" t="str">
            <v>pcs</v>
          </cell>
          <cell r="E656">
            <v>120000</v>
          </cell>
          <cell r="F656">
            <v>120000</v>
          </cell>
          <cell r="G656">
            <v>10000</v>
          </cell>
          <cell r="H656">
            <v>12000</v>
          </cell>
          <cell r="I656" t="str">
            <v>pc</v>
          </cell>
          <cell r="J656">
            <v>12000</v>
          </cell>
          <cell r="K656" t="str">
            <v>pc</v>
          </cell>
          <cell r="L656">
            <v>12000</v>
          </cell>
          <cell r="M656" t="str">
            <v>pc</v>
          </cell>
          <cell r="T656">
            <v>123000</v>
          </cell>
          <cell r="U656">
            <v>12</v>
          </cell>
          <cell r="V656" t="str">
            <v>lsn</v>
          </cell>
          <cell r="W656">
            <v>10200</v>
          </cell>
          <cell r="X656" t="str">
            <v>pc</v>
          </cell>
          <cell r="Y656">
            <v>10250</v>
          </cell>
          <cell r="Z656" t="str">
            <v>pc</v>
          </cell>
        </row>
        <row r="657">
          <cell r="A657" t="str">
            <v>KOTAKK</v>
          </cell>
          <cell r="B657" t="str">
            <v>Kotak</v>
          </cell>
          <cell r="C657">
            <v>100</v>
          </cell>
          <cell r="D657" t="str">
            <v>pcs</v>
          </cell>
          <cell r="E657">
            <v>42000</v>
          </cell>
          <cell r="G657">
            <v>420</v>
          </cell>
          <cell r="H657">
            <v>500</v>
          </cell>
          <cell r="I657" t="str">
            <v>pc</v>
          </cell>
          <cell r="J657">
            <v>500</v>
          </cell>
          <cell r="K657" t="str">
            <v>pc</v>
          </cell>
          <cell r="L657">
            <v>500</v>
          </cell>
          <cell r="M657" t="str">
            <v>pc</v>
          </cell>
          <cell r="Q657">
            <v>44000</v>
          </cell>
          <cell r="S657" t="str">
            <v>pak</v>
          </cell>
        </row>
        <row r="658">
          <cell r="A658" t="str">
            <v>KERTASGM</v>
          </cell>
          <cell r="B658" t="str">
            <v>Kertas Nasi CAP GAJAH MERAH 210 PC</v>
          </cell>
          <cell r="C658">
            <v>210</v>
          </cell>
          <cell r="D658" t="str">
            <v>pcs</v>
          </cell>
          <cell r="E658">
            <v>26000</v>
          </cell>
          <cell r="F658">
            <v>130000</v>
          </cell>
          <cell r="G658">
            <v>123.80952380952381</v>
          </cell>
          <cell r="H658">
            <v>1000</v>
          </cell>
          <cell r="I658" t="str">
            <v>ikat</v>
          </cell>
          <cell r="J658">
            <v>1000</v>
          </cell>
          <cell r="K658" t="str">
            <v>ikat</v>
          </cell>
          <cell r="L658">
            <v>1000</v>
          </cell>
          <cell r="M658" t="str">
            <v>ikat</v>
          </cell>
          <cell r="Q658">
            <v>28000</v>
          </cell>
          <cell r="S658" t="str">
            <v>pak</v>
          </cell>
        </row>
        <row r="659">
          <cell r="A659" t="str">
            <v>KETUMBARK</v>
          </cell>
          <cell r="B659" t="str">
            <v>Ketumbar Bubuk Desaku 500</v>
          </cell>
          <cell r="C659">
            <v>12</v>
          </cell>
          <cell r="D659" t="str">
            <v>rtg</v>
          </cell>
          <cell r="E659">
            <v>4958.333333333333</v>
          </cell>
          <cell r="F659">
            <v>29750</v>
          </cell>
          <cell r="G659">
            <v>413.1944444444444</v>
          </cell>
          <cell r="H659">
            <v>500</v>
          </cell>
          <cell r="I659" t="str">
            <v>pc</v>
          </cell>
          <cell r="J659">
            <v>500</v>
          </cell>
          <cell r="K659" t="str">
            <v>pc</v>
          </cell>
          <cell r="L659">
            <v>458.33333333333331</v>
          </cell>
          <cell r="M659" t="str">
            <v>pc</v>
          </cell>
          <cell r="N659">
            <v>6000</v>
          </cell>
          <cell r="O659">
            <v>12</v>
          </cell>
          <cell r="P659" t="str">
            <v>rtg</v>
          </cell>
        </row>
        <row r="660">
          <cell r="A660" t="str">
            <v>KETUMBARB</v>
          </cell>
          <cell r="B660" t="str">
            <v>Ketumbar Bubuk Desaku 1000</v>
          </cell>
          <cell r="C660">
            <v>12</v>
          </cell>
          <cell r="D660" t="str">
            <v>rtg</v>
          </cell>
          <cell r="E660">
            <v>10500</v>
          </cell>
          <cell r="F660">
            <v>21000</v>
          </cell>
          <cell r="G660">
            <v>875</v>
          </cell>
          <cell r="H660">
            <v>1000</v>
          </cell>
          <cell r="I660" t="str">
            <v>pc</v>
          </cell>
          <cell r="J660">
            <v>1000</v>
          </cell>
          <cell r="K660" t="str">
            <v>pc</v>
          </cell>
          <cell r="L660">
            <v>1000</v>
          </cell>
          <cell r="M660" t="str">
            <v>pc</v>
          </cell>
          <cell r="N660">
            <v>11000</v>
          </cell>
          <cell r="O660">
            <v>12</v>
          </cell>
          <cell r="P660" t="str">
            <v>rtg</v>
          </cell>
        </row>
        <row r="661">
          <cell r="A661" t="str">
            <v>KIRANTI</v>
          </cell>
          <cell r="B661" t="str">
            <v>KIRANTI DATANG BULAN</v>
          </cell>
          <cell r="C661">
            <v>24</v>
          </cell>
          <cell r="D661" t="str">
            <v>btl</v>
          </cell>
          <cell r="E661">
            <v>105000</v>
          </cell>
          <cell r="F661">
            <v>52500</v>
          </cell>
          <cell r="G661">
            <v>4375</v>
          </cell>
          <cell r="H661">
            <v>5000</v>
          </cell>
          <cell r="I661" t="str">
            <v>pc</v>
          </cell>
          <cell r="J661">
            <v>4800</v>
          </cell>
          <cell r="L661">
            <v>4750</v>
          </cell>
          <cell r="M661" t="str">
            <v>pc</v>
          </cell>
          <cell r="T661">
            <v>55500</v>
          </cell>
          <cell r="U661">
            <v>12</v>
          </cell>
          <cell r="V661" t="str">
            <v>lsn</v>
          </cell>
          <cell r="W661">
            <v>4600</v>
          </cell>
          <cell r="X661" t="str">
            <v>pc</v>
          </cell>
          <cell r="Y661">
            <v>4625</v>
          </cell>
          <cell r="Z661" t="str">
            <v>pc</v>
          </cell>
        </row>
        <row r="662">
          <cell r="A662" t="str">
            <v>KISPREY318</v>
          </cell>
          <cell r="B662" t="str">
            <v>Kisprey Botol 318 ml</v>
          </cell>
          <cell r="C662">
            <v>6</v>
          </cell>
          <cell r="D662" t="str">
            <v>pcs</v>
          </cell>
          <cell r="E662">
            <v>49242</v>
          </cell>
          <cell r="F662">
            <v>98484</v>
          </cell>
          <cell r="G662">
            <v>8207</v>
          </cell>
        </row>
        <row r="663">
          <cell r="A663" t="str">
            <v>KISPREY300</v>
          </cell>
          <cell r="B663" t="str">
            <v>Kisprey Refill 300 ml</v>
          </cell>
          <cell r="C663">
            <v>24</v>
          </cell>
          <cell r="D663" t="str">
            <v>pak</v>
          </cell>
          <cell r="E663">
            <v>96000</v>
          </cell>
          <cell r="F663">
            <v>48000</v>
          </cell>
          <cell r="G663">
            <v>4000</v>
          </cell>
          <cell r="H663">
            <v>5000</v>
          </cell>
          <cell r="I663" t="str">
            <v>pc</v>
          </cell>
          <cell r="J663">
            <v>4700</v>
          </cell>
          <cell r="K663" t="str">
            <v>pc</v>
          </cell>
          <cell r="L663">
            <v>4400</v>
          </cell>
          <cell r="M663" t="str">
            <v>pc</v>
          </cell>
          <cell r="T663">
            <v>51000</v>
          </cell>
          <cell r="U663">
            <v>12</v>
          </cell>
          <cell r="V663" t="str">
            <v>lsn</v>
          </cell>
          <cell r="W663">
            <v>4200</v>
          </cell>
          <cell r="X663" t="str">
            <v>pc</v>
          </cell>
          <cell r="Y663">
            <v>4250</v>
          </cell>
          <cell r="Z663" t="str">
            <v>pc</v>
          </cell>
        </row>
        <row r="664">
          <cell r="A664" t="str">
            <v>Kispre1</v>
          </cell>
          <cell r="B664" t="str">
            <v>Kisprey Rtg</v>
          </cell>
          <cell r="C664">
            <v>24</v>
          </cell>
          <cell r="D664" t="str">
            <v>pak</v>
          </cell>
          <cell r="E664">
            <v>9800</v>
          </cell>
          <cell r="F664">
            <v>58800</v>
          </cell>
          <cell r="G664">
            <v>408.33333333333331</v>
          </cell>
          <cell r="N664">
            <v>6000</v>
          </cell>
          <cell r="O664">
            <v>12</v>
          </cell>
          <cell r="P664" t="str">
            <v>rtg</v>
          </cell>
        </row>
        <row r="665">
          <cell r="A665" t="str">
            <v>KBEDAK300.</v>
          </cell>
          <cell r="B665" t="str">
            <v>Kodomo POWDER/BEDAK BOTOL 300 ML</v>
          </cell>
          <cell r="C665">
            <v>12</v>
          </cell>
          <cell r="D665" t="str">
            <v>pcs</v>
          </cell>
          <cell r="E665">
            <v>133200</v>
          </cell>
          <cell r="G665">
            <v>11100</v>
          </cell>
          <cell r="H665">
            <v>13000</v>
          </cell>
          <cell r="I665" t="str">
            <v>pc</v>
          </cell>
          <cell r="J665">
            <v>13000</v>
          </cell>
          <cell r="K665" t="str">
            <v>pc</v>
          </cell>
          <cell r="L665">
            <v>12500</v>
          </cell>
          <cell r="M665" t="str">
            <v>pc</v>
          </cell>
        </row>
        <row r="666">
          <cell r="A666" t="str">
            <v>KBEDAK200</v>
          </cell>
          <cell r="B666" t="str">
            <v>Kodomo POWDER/BEDAK BOTOL 200 ML</v>
          </cell>
          <cell r="C666">
            <v>12</v>
          </cell>
          <cell r="D666" t="str">
            <v>pcs</v>
          </cell>
          <cell r="E666">
            <v>97200</v>
          </cell>
          <cell r="G666">
            <v>8100</v>
          </cell>
          <cell r="H666">
            <v>10000</v>
          </cell>
          <cell r="I666" t="str">
            <v>pc</v>
          </cell>
          <cell r="J666">
            <v>9500</v>
          </cell>
          <cell r="K666" t="str">
            <v>pc</v>
          </cell>
          <cell r="L666">
            <v>9000</v>
          </cell>
          <cell r="M666" t="str">
            <v>pc</v>
          </cell>
        </row>
        <row r="667">
          <cell r="A667" t="str">
            <v>KBEDAK50</v>
          </cell>
          <cell r="B667" t="str">
            <v>Kodomo POWDER/BEDAK BOTOL 50 ML</v>
          </cell>
          <cell r="C667">
            <v>12</v>
          </cell>
          <cell r="D667" t="str">
            <v>pcs</v>
          </cell>
          <cell r="E667">
            <v>27000</v>
          </cell>
          <cell r="G667">
            <v>2250</v>
          </cell>
          <cell r="H667">
            <v>4000</v>
          </cell>
          <cell r="I667" t="str">
            <v>pc</v>
          </cell>
          <cell r="J667">
            <v>4000</v>
          </cell>
          <cell r="K667" t="str">
            <v>pc</v>
          </cell>
          <cell r="L667">
            <v>3500</v>
          </cell>
          <cell r="M667" t="str">
            <v>pc</v>
          </cell>
        </row>
        <row r="668">
          <cell r="A668" t="str">
            <v>KSABUN200</v>
          </cell>
          <cell r="B668" t="str">
            <v>Kodomo Body Wash BOTOL 200 ML</v>
          </cell>
          <cell r="C668">
            <v>12</v>
          </cell>
          <cell r="D668" t="str">
            <v>pcs</v>
          </cell>
          <cell r="E668">
            <v>134400</v>
          </cell>
          <cell r="G668">
            <v>11200</v>
          </cell>
          <cell r="H668">
            <v>13500</v>
          </cell>
          <cell r="I668" t="str">
            <v>pc</v>
          </cell>
          <cell r="J668">
            <v>13000</v>
          </cell>
          <cell r="K668" t="str">
            <v>pc</v>
          </cell>
          <cell r="L668">
            <v>12500</v>
          </cell>
          <cell r="M668" t="str">
            <v>pc</v>
          </cell>
        </row>
        <row r="669">
          <cell r="A669" t="str">
            <v>KODOMO180R</v>
          </cell>
          <cell r="B669" t="str">
            <v>Kodomo Shampoo REFILL180 ML</v>
          </cell>
          <cell r="C669">
            <v>12</v>
          </cell>
          <cell r="D669" t="str">
            <v>pcs</v>
          </cell>
          <cell r="E669">
            <v>85500</v>
          </cell>
          <cell r="G669">
            <v>7125</v>
          </cell>
          <cell r="H669">
            <v>9000</v>
          </cell>
          <cell r="I669" t="str">
            <v>pc</v>
          </cell>
          <cell r="J669">
            <v>9000</v>
          </cell>
          <cell r="K669" t="str">
            <v>pc</v>
          </cell>
          <cell r="L669">
            <v>8500</v>
          </cell>
          <cell r="M669" t="str">
            <v>pc</v>
          </cell>
        </row>
        <row r="670">
          <cell r="A670" t="str">
            <v>KODOMO200B</v>
          </cell>
          <cell r="B670" t="str">
            <v>Kodomo Shampoo BOTOL 200 ML</v>
          </cell>
          <cell r="C670">
            <v>12</v>
          </cell>
          <cell r="D670" t="str">
            <v>pcs</v>
          </cell>
          <cell r="E670">
            <v>134400</v>
          </cell>
          <cell r="G670">
            <v>11200</v>
          </cell>
          <cell r="H670">
            <v>13500</v>
          </cell>
          <cell r="I670" t="str">
            <v>pc</v>
          </cell>
          <cell r="J670">
            <v>13000</v>
          </cell>
          <cell r="K670" t="str">
            <v>pc</v>
          </cell>
          <cell r="L670">
            <v>12500</v>
          </cell>
          <cell r="M670" t="str">
            <v>pc</v>
          </cell>
        </row>
        <row r="671">
          <cell r="A671" t="str">
            <v>KODOMO2</v>
          </cell>
          <cell r="B671" t="str">
            <v>Sikat gigi Kodomo SET 2 IN 1</v>
          </cell>
          <cell r="C671">
            <v>6</v>
          </cell>
          <cell r="D671" t="str">
            <v>pcs</v>
          </cell>
          <cell r="E671">
            <v>36000</v>
          </cell>
          <cell r="G671">
            <v>6000</v>
          </cell>
          <cell r="H671">
            <v>7500</v>
          </cell>
          <cell r="I671" t="str">
            <v>pc</v>
          </cell>
          <cell r="J671">
            <v>7500</v>
          </cell>
          <cell r="K671" t="str">
            <v>pc</v>
          </cell>
        </row>
        <row r="672">
          <cell r="A672" t="str">
            <v>KODOMO1</v>
          </cell>
          <cell r="B672" t="str">
            <v>Sikat gigi Kodomo Reguler</v>
          </cell>
          <cell r="C672">
            <v>12</v>
          </cell>
          <cell r="D672" t="str">
            <v>pcs</v>
          </cell>
          <cell r="E672">
            <v>29700</v>
          </cell>
          <cell r="G672">
            <v>2475</v>
          </cell>
          <cell r="H672">
            <v>3500</v>
          </cell>
          <cell r="I672" t="str">
            <v>pc</v>
          </cell>
          <cell r="J672">
            <v>3500</v>
          </cell>
          <cell r="K672" t="str">
            <v>pc</v>
          </cell>
          <cell r="L672">
            <v>3000</v>
          </cell>
          <cell r="M672" t="str">
            <v>pc</v>
          </cell>
          <cell r="T672">
            <v>32000</v>
          </cell>
          <cell r="U672">
            <v>12</v>
          </cell>
          <cell r="V672" t="str">
            <v>lsn</v>
          </cell>
          <cell r="W672">
            <v>2800</v>
          </cell>
          <cell r="X672" t="str">
            <v>pc</v>
          </cell>
          <cell r="Y672">
            <v>2900</v>
          </cell>
          <cell r="Z672" t="str">
            <v>pc</v>
          </cell>
        </row>
        <row r="673">
          <cell r="A673" t="str">
            <v>KODOMO45</v>
          </cell>
          <cell r="B673" t="str">
            <v>Kodomo Pasta Gigi /Odol 45</v>
          </cell>
          <cell r="C673">
            <v>12</v>
          </cell>
          <cell r="D673" t="str">
            <v>pcs</v>
          </cell>
          <cell r="E673">
            <v>68400</v>
          </cell>
          <cell r="G673">
            <v>5700</v>
          </cell>
          <cell r="H673">
            <v>6500</v>
          </cell>
          <cell r="I673" t="str">
            <v>pc</v>
          </cell>
          <cell r="J673">
            <v>6500</v>
          </cell>
          <cell r="K673" t="str">
            <v>pc</v>
          </cell>
          <cell r="L673">
            <v>6200</v>
          </cell>
          <cell r="M673" t="str">
            <v>pc</v>
          </cell>
          <cell r="Q673">
            <v>71000</v>
          </cell>
          <cell r="S673" t="str">
            <v>pak</v>
          </cell>
          <cell r="T673">
            <v>71000</v>
          </cell>
          <cell r="U673">
            <v>12</v>
          </cell>
          <cell r="V673" t="str">
            <v>lsn</v>
          </cell>
          <cell r="W673">
            <v>5900</v>
          </cell>
          <cell r="X673" t="str">
            <v>pc</v>
          </cell>
          <cell r="Y673">
            <v>6000</v>
          </cell>
          <cell r="Z673" t="str">
            <v>pc</v>
          </cell>
        </row>
        <row r="674">
          <cell r="A674" t="str">
            <v>NEOK</v>
          </cell>
          <cell r="B674" t="str">
            <v>Kopi Neo Mocacino</v>
          </cell>
          <cell r="C674">
            <v>10</v>
          </cell>
          <cell r="D674" t="str">
            <v>rtg</v>
          </cell>
          <cell r="E674">
            <v>5066.666666666667</v>
          </cell>
          <cell r="F674">
            <v>45600</v>
          </cell>
          <cell r="G674">
            <v>506.66666666666669</v>
          </cell>
          <cell r="N674">
            <v>9000</v>
          </cell>
          <cell r="O674">
            <v>10</v>
          </cell>
          <cell r="P674" t="str">
            <v>rtg</v>
          </cell>
        </row>
        <row r="675">
          <cell r="A675" t="str">
            <v>MAYOR</v>
          </cell>
          <cell r="B675" t="str">
            <v>KOPI MAYOR 135</v>
          </cell>
          <cell r="C675">
            <v>4</v>
          </cell>
          <cell r="D675" t="str">
            <v>pcs</v>
          </cell>
          <cell r="E675">
            <v>18000</v>
          </cell>
          <cell r="F675">
            <v>108000</v>
          </cell>
          <cell r="G675">
            <v>4500</v>
          </cell>
          <cell r="H675">
            <v>5000</v>
          </cell>
          <cell r="I675" t="str">
            <v>pc</v>
          </cell>
          <cell r="J675">
            <v>5000</v>
          </cell>
          <cell r="K675" t="str">
            <v>pc</v>
          </cell>
          <cell r="L675">
            <v>5000</v>
          </cell>
          <cell r="M675" t="str">
            <v>pc</v>
          </cell>
          <cell r="Q675">
            <v>20000</v>
          </cell>
          <cell r="S675" t="str">
            <v>pak</v>
          </cell>
        </row>
        <row r="676">
          <cell r="A676" t="str">
            <v>TOPKOPI65</v>
          </cell>
          <cell r="B676" t="str">
            <v>Top Kopi HITAM 65 GR</v>
          </cell>
          <cell r="C676">
            <v>10</v>
          </cell>
          <cell r="D676" t="str">
            <v>pcs</v>
          </cell>
          <cell r="G676">
            <v>0</v>
          </cell>
          <cell r="H676">
            <v>4000</v>
          </cell>
          <cell r="I676" t="str">
            <v>pc</v>
          </cell>
          <cell r="J676">
            <v>4000</v>
          </cell>
          <cell r="K676" t="str">
            <v>pc</v>
          </cell>
          <cell r="L676">
            <v>3500</v>
          </cell>
          <cell r="M676" t="str">
            <v>pc</v>
          </cell>
          <cell r="N676">
            <v>34000</v>
          </cell>
          <cell r="O676">
            <v>10</v>
          </cell>
          <cell r="P676" t="str">
            <v>rtg</v>
          </cell>
        </row>
        <row r="677">
          <cell r="A677" t="str">
            <v>TOPKOPI58</v>
          </cell>
          <cell r="B677" t="str">
            <v>Top Kopi HITAM 165 GR</v>
          </cell>
          <cell r="C677">
            <v>1</v>
          </cell>
          <cell r="D677" t="str">
            <v>pcs</v>
          </cell>
          <cell r="E677">
            <v>9675</v>
          </cell>
          <cell r="F677">
            <v>116100</v>
          </cell>
          <cell r="G677">
            <v>9675</v>
          </cell>
          <cell r="H677">
            <v>11000</v>
          </cell>
          <cell r="I677" t="str">
            <v>pc</v>
          </cell>
          <cell r="J677">
            <v>10500</v>
          </cell>
          <cell r="K677" t="str">
            <v>pc</v>
          </cell>
          <cell r="L677">
            <v>10500</v>
          </cell>
          <cell r="M677" t="str">
            <v>pc</v>
          </cell>
        </row>
        <row r="678">
          <cell r="A678" t="str">
            <v>TOPKOPI380</v>
          </cell>
          <cell r="B678" t="str">
            <v>Top Kopi HITAM 380 GR</v>
          </cell>
          <cell r="C678">
            <v>6</v>
          </cell>
          <cell r="D678" t="str">
            <v>pcs</v>
          </cell>
          <cell r="E678">
            <v>111660</v>
          </cell>
          <cell r="F678">
            <v>223320</v>
          </cell>
          <cell r="G678">
            <v>18610</v>
          </cell>
          <cell r="H678">
            <v>20000</v>
          </cell>
          <cell r="I678" t="str">
            <v>pc</v>
          </cell>
          <cell r="J678">
            <v>20000</v>
          </cell>
          <cell r="K678" t="str">
            <v>pc</v>
          </cell>
          <cell r="L678">
            <v>20000</v>
          </cell>
          <cell r="M678" t="str">
            <v>pc</v>
          </cell>
        </row>
        <row r="679">
          <cell r="A679" t="str">
            <v>TOPKOPIM</v>
          </cell>
          <cell r="B679" t="str">
            <v>Top Kopi MOKA Renteng</v>
          </cell>
          <cell r="C679">
            <v>12</v>
          </cell>
          <cell r="D679" t="str">
            <v>rtg</v>
          </cell>
          <cell r="E679">
            <v>8790</v>
          </cell>
          <cell r="F679">
            <v>87900</v>
          </cell>
          <cell r="G679">
            <v>732.5</v>
          </cell>
          <cell r="N679">
            <v>10000</v>
          </cell>
          <cell r="O679">
            <v>10</v>
          </cell>
          <cell r="P679" t="str">
            <v>rtg</v>
          </cell>
        </row>
        <row r="680">
          <cell r="A680" t="str">
            <v>TOPKOPIW</v>
          </cell>
          <cell r="B680" t="str">
            <v>Top Kopi White Renteng</v>
          </cell>
          <cell r="C680">
            <v>12</v>
          </cell>
          <cell r="D680" t="str">
            <v>rtg</v>
          </cell>
          <cell r="E680">
            <v>8760</v>
          </cell>
          <cell r="F680">
            <v>87600</v>
          </cell>
          <cell r="G680">
            <v>730</v>
          </cell>
          <cell r="N680">
            <v>10000</v>
          </cell>
          <cell r="O680">
            <v>10</v>
          </cell>
          <cell r="P680" t="str">
            <v>rtg</v>
          </cell>
        </row>
        <row r="681">
          <cell r="A681" t="str">
            <v>TOPKOPIT</v>
          </cell>
          <cell r="B681" t="str">
            <v>Top Kopi TORAJA Renteng</v>
          </cell>
          <cell r="C681">
            <v>12</v>
          </cell>
          <cell r="D681" t="str">
            <v>rtg</v>
          </cell>
          <cell r="E681">
            <v>9000</v>
          </cell>
          <cell r="F681">
            <v>90000</v>
          </cell>
          <cell r="G681">
            <v>750</v>
          </cell>
          <cell r="N681">
            <v>10000</v>
          </cell>
          <cell r="O681">
            <v>10</v>
          </cell>
          <cell r="P681" t="str">
            <v>rtg</v>
          </cell>
        </row>
        <row r="682">
          <cell r="A682" t="str">
            <v>TOPKOPIH</v>
          </cell>
          <cell r="B682" t="str">
            <v>Top Kopi HITAM Renteng</v>
          </cell>
          <cell r="C682">
            <v>12</v>
          </cell>
          <cell r="D682" t="str">
            <v>rtg</v>
          </cell>
          <cell r="E682">
            <v>7800</v>
          </cell>
          <cell r="F682">
            <v>78000</v>
          </cell>
          <cell r="G682">
            <v>650</v>
          </cell>
          <cell r="N682">
            <v>9000</v>
          </cell>
          <cell r="O682">
            <v>10</v>
          </cell>
          <cell r="P682" t="str">
            <v>rtg</v>
          </cell>
        </row>
        <row r="683">
          <cell r="A683" t="str">
            <v>TOPKOPIC</v>
          </cell>
          <cell r="B683" t="str">
            <v>Top Kopi CAPUCINO</v>
          </cell>
          <cell r="C683">
            <v>15</v>
          </cell>
          <cell r="D683" t="str">
            <v>rtg</v>
          </cell>
          <cell r="E683">
            <v>12100</v>
          </cell>
          <cell r="F683">
            <v>88200</v>
          </cell>
          <cell r="G683">
            <v>806.66666666666663</v>
          </cell>
          <cell r="N683">
            <v>15000</v>
          </cell>
          <cell r="O683">
            <v>10</v>
          </cell>
          <cell r="P683" t="str">
            <v>rtg</v>
          </cell>
        </row>
        <row r="684">
          <cell r="A684" t="str">
            <v>TOPKOPIS</v>
          </cell>
          <cell r="B684" t="str">
            <v>Top Kopi SUSU / SKM renteng</v>
          </cell>
          <cell r="C684">
            <v>12</v>
          </cell>
          <cell r="D684" t="str">
            <v>rtg</v>
          </cell>
          <cell r="E684">
            <v>8820</v>
          </cell>
          <cell r="F684">
            <v>88200</v>
          </cell>
          <cell r="G684">
            <v>735</v>
          </cell>
          <cell r="N684">
            <v>10000</v>
          </cell>
          <cell r="O684">
            <v>10</v>
          </cell>
          <cell r="P684" t="str">
            <v>rtg</v>
          </cell>
        </row>
        <row r="685">
          <cell r="A685" t="str">
            <v>CHOCOLATOS190</v>
          </cell>
          <cell r="B685" t="str">
            <v>Kopi CHOCOLATOS ITALIAN 190 ml</v>
          </cell>
          <cell r="C685">
            <v>12</v>
          </cell>
          <cell r="D685" t="str">
            <v>pc</v>
          </cell>
          <cell r="E685">
            <v>42151</v>
          </cell>
          <cell r="G685">
            <v>3512.5833333333335</v>
          </cell>
          <cell r="H685">
            <v>5000</v>
          </cell>
          <cell r="I685" t="str">
            <v>pc</v>
          </cell>
          <cell r="J685">
            <v>5000</v>
          </cell>
          <cell r="K685" t="str">
            <v>pc</v>
          </cell>
        </row>
        <row r="686">
          <cell r="A686" t="str">
            <v>CHOCOLATOSC</v>
          </cell>
          <cell r="B686" t="str">
            <v>Kopi CHOCOLATOS ITALIAN Rtg</v>
          </cell>
          <cell r="C686">
            <v>10</v>
          </cell>
          <cell r="D686" t="str">
            <v>rtg</v>
          </cell>
          <cell r="E686">
            <v>15362.25</v>
          </cell>
          <cell r="F686">
            <v>122898</v>
          </cell>
          <cell r="G686">
            <v>1536.2249999999999</v>
          </cell>
          <cell r="N686">
            <v>16500</v>
          </cell>
          <cell r="O686">
            <v>10</v>
          </cell>
          <cell r="P686" t="str">
            <v>rtg</v>
          </cell>
        </row>
        <row r="687">
          <cell r="A687" t="str">
            <v>CHOCOLATOSM</v>
          </cell>
          <cell r="B687" t="str">
            <v>Kopi CHOCOLATOS MOKACINO  Rtg</v>
          </cell>
          <cell r="C687">
            <v>10</v>
          </cell>
          <cell r="D687" t="str">
            <v>rtg</v>
          </cell>
          <cell r="E687">
            <v>9699.9833333333336</v>
          </cell>
          <cell r="F687">
            <v>116399.8</v>
          </cell>
          <cell r="G687">
            <v>969.99833333333333</v>
          </cell>
          <cell r="N687">
            <v>11000</v>
          </cell>
          <cell r="O687">
            <v>10</v>
          </cell>
          <cell r="P687" t="str">
            <v>rtg</v>
          </cell>
        </row>
        <row r="688">
          <cell r="A688" t="str">
            <v>CHOCOLATOSB</v>
          </cell>
          <cell r="B688" t="str">
            <v>Kopi CHOCOLATOS Botol</v>
          </cell>
          <cell r="C688">
            <v>24</v>
          </cell>
          <cell r="D688" t="str">
            <v>btl</v>
          </cell>
          <cell r="E688">
            <v>117599.9</v>
          </cell>
          <cell r="F688">
            <v>58799.95</v>
          </cell>
          <cell r="G688">
            <v>4899.9958333333334</v>
          </cell>
          <cell r="H688">
            <v>6000</v>
          </cell>
          <cell r="I688" t="str">
            <v>pc</v>
          </cell>
          <cell r="J688">
            <v>5700</v>
          </cell>
          <cell r="K688" t="str">
            <v>pc</v>
          </cell>
          <cell r="L688">
            <v>5400</v>
          </cell>
          <cell r="M688" t="str">
            <v>pc</v>
          </cell>
          <cell r="T688">
            <v>61000</v>
          </cell>
          <cell r="U688">
            <v>12</v>
          </cell>
          <cell r="V688" t="str">
            <v>pc</v>
          </cell>
          <cell r="W688">
            <v>5100</v>
          </cell>
          <cell r="X688" t="str">
            <v>pc</v>
          </cell>
          <cell r="Y688">
            <v>5200</v>
          </cell>
          <cell r="Z688" t="str">
            <v>pc</v>
          </cell>
        </row>
        <row r="689">
          <cell r="A689" t="str">
            <v>CHOCOLATOSW</v>
          </cell>
          <cell r="B689" t="str">
            <v>CHOCOLATOS WAFER  12 gr</v>
          </cell>
          <cell r="C689">
            <v>10</v>
          </cell>
          <cell r="D689" t="str">
            <v>pak</v>
          </cell>
          <cell r="E689">
            <v>8250</v>
          </cell>
          <cell r="F689">
            <v>99000</v>
          </cell>
          <cell r="G689">
            <v>825</v>
          </cell>
          <cell r="N689">
            <v>9000</v>
          </cell>
          <cell r="P689" t="str">
            <v>rtg</v>
          </cell>
        </row>
        <row r="690">
          <cell r="A690" t="str">
            <v>ABCHITAM</v>
          </cell>
          <cell r="B690" t="str">
            <v>Kopi ABC Hitam</v>
          </cell>
          <cell r="C690">
            <v>10</v>
          </cell>
          <cell r="D690" t="str">
            <v>rtg</v>
          </cell>
          <cell r="E690">
            <v>20000</v>
          </cell>
          <cell r="F690">
            <v>120000</v>
          </cell>
          <cell r="G690">
            <v>2000</v>
          </cell>
          <cell r="H690">
            <v>2500</v>
          </cell>
          <cell r="I690" t="str">
            <v>pc</v>
          </cell>
          <cell r="J690">
            <v>2500</v>
          </cell>
          <cell r="K690" t="str">
            <v>pc</v>
          </cell>
          <cell r="L690">
            <v>2300</v>
          </cell>
          <cell r="M690" t="str">
            <v>pc</v>
          </cell>
          <cell r="N690">
            <v>22500</v>
          </cell>
          <cell r="O690">
            <v>10</v>
          </cell>
          <cell r="P690" t="str">
            <v>rtg</v>
          </cell>
          <cell r="W690">
            <v>2200</v>
          </cell>
          <cell r="X690" t="str">
            <v>pc</v>
          </cell>
          <cell r="Y690">
            <v>2250</v>
          </cell>
          <cell r="Z690" t="str">
            <v>pc</v>
          </cell>
        </row>
        <row r="691">
          <cell r="A691" t="str">
            <v>MOKA</v>
          </cell>
          <cell r="B691" t="str">
            <v>Kopi Abc Moka</v>
          </cell>
          <cell r="C691">
            <v>10</v>
          </cell>
          <cell r="D691" t="str">
            <v>rtg</v>
          </cell>
          <cell r="E691">
            <v>9666.6666666666661</v>
          </cell>
          <cell r="F691">
            <v>116000</v>
          </cell>
          <cell r="G691">
            <v>966.66666666666663</v>
          </cell>
          <cell r="N691">
            <v>11000</v>
          </cell>
          <cell r="O691">
            <v>10</v>
          </cell>
          <cell r="P691" t="str">
            <v>rtg</v>
          </cell>
          <cell r="AA691">
            <v>119000</v>
          </cell>
          <cell r="AB691" t="str">
            <v>dos</v>
          </cell>
        </row>
        <row r="692">
          <cell r="A692" t="str">
            <v>STMJ</v>
          </cell>
          <cell r="B692" t="str">
            <v>Kopi Abc STMJ</v>
          </cell>
          <cell r="C692">
            <v>10</v>
          </cell>
          <cell r="D692" t="str">
            <v>rtg</v>
          </cell>
          <cell r="E692">
            <v>6958.333333333333</v>
          </cell>
          <cell r="F692">
            <v>83500</v>
          </cell>
          <cell r="G692">
            <v>695.83333333333326</v>
          </cell>
        </row>
        <row r="693">
          <cell r="A693" t="str">
            <v>ABCSUSU</v>
          </cell>
          <cell r="B693" t="str">
            <v>Kopi Abc Susu</v>
          </cell>
          <cell r="C693">
            <v>10</v>
          </cell>
          <cell r="D693" t="str">
            <v>rtg</v>
          </cell>
          <cell r="E693">
            <v>8708.3333333333339</v>
          </cell>
          <cell r="F693">
            <v>104500</v>
          </cell>
          <cell r="G693">
            <v>870.83333333333337</v>
          </cell>
        </row>
        <row r="694">
          <cell r="A694" t="str">
            <v>ABCWHITE</v>
          </cell>
          <cell r="B694" t="str">
            <v>Kopi Abc White/ BROWNIES</v>
          </cell>
          <cell r="C694">
            <v>10</v>
          </cell>
          <cell r="D694" t="str">
            <v>rtg</v>
          </cell>
          <cell r="E694">
            <v>8750</v>
          </cell>
          <cell r="F694">
            <v>105000</v>
          </cell>
          <cell r="G694">
            <v>875</v>
          </cell>
          <cell r="H694">
            <v>1500</v>
          </cell>
          <cell r="I694" t="str">
            <v>pc</v>
          </cell>
          <cell r="J694">
            <v>1500</v>
          </cell>
          <cell r="K694" t="str">
            <v>pc</v>
          </cell>
          <cell r="L694">
            <v>1000</v>
          </cell>
          <cell r="M694" t="str">
            <v>pc</v>
          </cell>
          <cell r="N694">
            <v>10000</v>
          </cell>
          <cell r="O694">
            <v>10</v>
          </cell>
          <cell r="P694" t="str">
            <v>rtg</v>
          </cell>
          <cell r="W694">
            <v>975</v>
          </cell>
          <cell r="X694" t="str">
            <v>pc</v>
          </cell>
          <cell r="Y694">
            <v>1000</v>
          </cell>
          <cell r="Z694" t="str">
            <v>pc</v>
          </cell>
          <cell r="AA694">
            <v>107500</v>
          </cell>
          <cell r="AB694" t="str">
            <v>dos</v>
          </cell>
        </row>
        <row r="695">
          <cell r="A695" t="str">
            <v>goodayB</v>
          </cell>
          <cell r="B695" t="str">
            <v>Kopi Good Day Capucino BOTOL 250  ML</v>
          </cell>
          <cell r="C695">
            <v>24</v>
          </cell>
          <cell r="D695" t="str">
            <v>btl</v>
          </cell>
          <cell r="E695">
            <v>114000</v>
          </cell>
          <cell r="F695">
            <v>57000</v>
          </cell>
          <cell r="G695">
            <v>4750</v>
          </cell>
          <cell r="H695">
            <v>6000</v>
          </cell>
          <cell r="I695" t="str">
            <v>btl</v>
          </cell>
          <cell r="J695">
            <v>5500</v>
          </cell>
          <cell r="K695" t="str">
            <v>btl</v>
          </cell>
          <cell r="L695">
            <v>5000</v>
          </cell>
          <cell r="M695" t="str">
            <v>btl</v>
          </cell>
          <cell r="T695">
            <v>59500</v>
          </cell>
          <cell r="U695">
            <v>12</v>
          </cell>
          <cell r="V695" t="str">
            <v>lsn</v>
          </cell>
          <cell r="W695">
            <v>4900</v>
          </cell>
          <cell r="X695" t="str">
            <v>btl</v>
          </cell>
          <cell r="Y695">
            <v>4958.333333333333</v>
          </cell>
          <cell r="Z695" t="str">
            <v>btl</v>
          </cell>
          <cell r="AA695">
            <v>117000</v>
          </cell>
          <cell r="AB695" t="str">
            <v>dos</v>
          </cell>
        </row>
        <row r="696">
          <cell r="A696" t="str">
            <v>goodayc</v>
          </cell>
          <cell r="B696" t="str">
            <v>Kopi Good Day Capucino Renteng</v>
          </cell>
          <cell r="C696">
            <v>10</v>
          </cell>
          <cell r="D696" t="str">
            <v>rtg</v>
          </cell>
          <cell r="E696">
            <v>14083.333333333334</v>
          </cell>
          <cell r="F696">
            <v>169000</v>
          </cell>
          <cell r="G696">
            <v>1408.3333333333335</v>
          </cell>
          <cell r="H696">
            <v>2000</v>
          </cell>
          <cell r="I696" t="str">
            <v>pc</v>
          </cell>
          <cell r="J696">
            <v>2000</v>
          </cell>
          <cell r="K696" t="str">
            <v>pc</v>
          </cell>
          <cell r="N696">
            <v>15000</v>
          </cell>
          <cell r="O696">
            <v>10</v>
          </cell>
          <cell r="P696" t="str">
            <v>rtg</v>
          </cell>
          <cell r="AA696">
            <v>171000</v>
          </cell>
          <cell r="AB696" t="str">
            <v>dos</v>
          </cell>
        </row>
        <row r="697">
          <cell r="A697" t="str">
            <v>goodaym</v>
          </cell>
          <cell r="B697" t="str">
            <v>Kopi Good Day Mocacino Renteng</v>
          </cell>
          <cell r="C697">
            <v>10</v>
          </cell>
          <cell r="D697" t="str">
            <v>rtg</v>
          </cell>
          <cell r="E697">
            <v>81666.666666666672</v>
          </cell>
          <cell r="F697">
            <v>245000</v>
          </cell>
          <cell r="G697">
            <v>8166.666666666667</v>
          </cell>
          <cell r="N697">
            <v>11000</v>
          </cell>
          <cell r="P697" t="str">
            <v>rtg</v>
          </cell>
        </row>
        <row r="698">
          <cell r="A698" t="str">
            <v>Goodayf</v>
          </cell>
          <cell r="B698" t="str">
            <v>Kopi Good Day Freeze</v>
          </cell>
          <cell r="C698">
            <v>10</v>
          </cell>
          <cell r="D698" t="str">
            <v>Rtg</v>
          </cell>
          <cell r="E698">
            <v>16083.333333333334</v>
          </cell>
          <cell r="F698">
            <v>193000</v>
          </cell>
          <cell r="G698">
            <v>1608.3333333333335</v>
          </cell>
          <cell r="H698">
            <v>2000</v>
          </cell>
          <cell r="I698" t="str">
            <v>Bks</v>
          </cell>
          <cell r="J698">
            <v>2000</v>
          </cell>
          <cell r="K698" t="str">
            <v>Bks</v>
          </cell>
          <cell r="N698">
            <v>17500</v>
          </cell>
          <cell r="O698">
            <v>10</v>
          </cell>
          <cell r="P698" t="str">
            <v>Rtg</v>
          </cell>
          <cell r="AA698">
            <v>196000</v>
          </cell>
          <cell r="AB698" t="str">
            <v>Dos</v>
          </cell>
        </row>
        <row r="699">
          <cell r="A699" t="str">
            <v>JAHE</v>
          </cell>
          <cell r="B699" t="str">
            <v>Kopi Jahe 3 In 1</v>
          </cell>
          <cell r="C699">
            <v>10</v>
          </cell>
          <cell r="D699" t="str">
            <v>rtg</v>
          </cell>
          <cell r="E699">
            <v>6666.666666666667</v>
          </cell>
          <cell r="F699">
            <v>80000</v>
          </cell>
          <cell r="G699">
            <v>666.66666666666674</v>
          </cell>
        </row>
        <row r="700">
          <cell r="A700" t="str">
            <v>ANGET</v>
          </cell>
          <cell r="B700" t="str">
            <v>Kopi Jahe Anget sari</v>
          </cell>
          <cell r="C700">
            <v>10</v>
          </cell>
          <cell r="D700" t="str">
            <v>rtg</v>
          </cell>
          <cell r="E700">
            <v>7000</v>
          </cell>
          <cell r="F700">
            <v>35000</v>
          </cell>
          <cell r="G700">
            <v>700</v>
          </cell>
        </row>
        <row r="701">
          <cell r="A701" t="str">
            <v>API19</v>
          </cell>
          <cell r="B701" t="str">
            <v>Kopi Kapal Api 19 gr</v>
          </cell>
          <cell r="C701">
            <v>10</v>
          </cell>
          <cell r="D701" t="str">
            <v>rtg</v>
          </cell>
          <cell r="E701">
            <v>8125</v>
          </cell>
          <cell r="F701">
            <v>97500</v>
          </cell>
          <cell r="G701">
            <v>812.5</v>
          </cell>
          <cell r="H701">
            <v>1000</v>
          </cell>
          <cell r="I701" t="str">
            <v>pc</v>
          </cell>
          <cell r="J701">
            <v>1000</v>
          </cell>
          <cell r="K701" t="str">
            <v>pc</v>
          </cell>
          <cell r="L701">
            <v>900</v>
          </cell>
          <cell r="M701" t="str">
            <v>pc</v>
          </cell>
          <cell r="N701">
            <v>9000</v>
          </cell>
          <cell r="O701">
            <v>10</v>
          </cell>
          <cell r="P701" t="str">
            <v>rtg</v>
          </cell>
          <cell r="W701">
            <v>850</v>
          </cell>
          <cell r="X701" t="str">
            <v>pc</v>
          </cell>
          <cell r="Y701">
            <v>900</v>
          </cell>
          <cell r="Z701" t="str">
            <v>pc</v>
          </cell>
          <cell r="AA701">
            <v>101000</v>
          </cell>
          <cell r="AB701" t="str">
            <v>dos</v>
          </cell>
        </row>
        <row r="702">
          <cell r="A702" t="str">
            <v>API380</v>
          </cell>
          <cell r="B702" t="str">
            <v>Kopi Kapal Api 380 gr</v>
          </cell>
          <cell r="C702">
            <v>9</v>
          </cell>
          <cell r="D702" t="str">
            <v>dos</v>
          </cell>
          <cell r="E702">
            <v>175000</v>
          </cell>
          <cell r="G702">
            <v>19444.444444444445</v>
          </cell>
          <cell r="H702">
            <v>21000</v>
          </cell>
          <cell r="I702" t="str">
            <v>bks</v>
          </cell>
          <cell r="J702">
            <v>21000</v>
          </cell>
          <cell r="K702" t="str">
            <v>bks</v>
          </cell>
          <cell r="L702">
            <v>20500</v>
          </cell>
          <cell r="M702" t="str">
            <v>bks</v>
          </cell>
          <cell r="X702" t="str">
            <v>bks</v>
          </cell>
          <cell r="Z702" t="str">
            <v>bks</v>
          </cell>
        </row>
        <row r="703">
          <cell r="A703" t="str">
            <v>API65</v>
          </cell>
          <cell r="B703" t="str">
            <v>Kopi Kapal Api 65 gr</v>
          </cell>
          <cell r="C703">
            <v>10</v>
          </cell>
          <cell r="D703" t="str">
            <v>rtg</v>
          </cell>
          <cell r="E703">
            <v>48000</v>
          </cell>
          <cell r="F703">
            <v>235000</v>
          </cell>
          <cell r="G703">
            <v>4800</v>
          </cell>
          <cell r="H703">
            <v>5500</v>
          </cell>
          <cell r="I703" t="str">
            <v>pc</v>
          </cell>
          <cell r="J703">
            <v>5500</v>
          </cell>
          <cell r="K703" t="str">
            <v>pc</v>
          </cell>
          <cell r="L703">
            <v>5500</v>
          </cell>
          <cell r="M703" t="str">
            <v>pc</v>
          </cell>
          <cell r="N703">
            <v>49500</v>
          </cell>
          <cell r="O703">
            <v>10</v>
          </cell>
          <cell r="P703" t="str">
            <v>rtg</v>
          </cell>
          <cell r="W703">
            <v>5000</v>
          </cell>
          <cell r="X703" t="str">
            <v>pc</v>
          </cell>
          <cell r="Y703">
            <v>5000</v>
          </cell>
          <cell r="Z703" t="str">
            <v>pc</v>
          </cell>
        </row>
        <row r="704">
          <cell r="A704" t="str">
            <v>API6</v>
          </cell>
          <cell r="B704" t="str">
            <v>Kopi Kapal Api 6,5 gr</v>
          </cell>
          <cell r="C704">
            <v>10</v>
          </cell>
          <cell r="D704" t="str">
            <v>rtg</v>
          </cell>
          <cell r="E704">
            <v>4300</v>
          </cell>
          <cell r="F704">
            <v>86000</v>
          </cell>
          <cell r="G704">
            <v>430</v>
          </cell>
          <cell r="N704">
            <v>5500</v>
          </cell>
          <cell r="O704">
            <v>10</v>
          </cell>
          <cell r="P704" t="str">
            <v>rtg</v>
          </cell>
        </row>
        <row r="705">
          <cell r="A705" t="str">
            <v>api25</v>
          </cell>
          <cell r="B705" t="str">
            <v>Kopi Kapal Api 25 Gr</v>
          </cell>
          <cell r="C705">
            <v>12</v>
          </cell>
          <cell r="D705" t="str">
            <v>Rtg</v>
          </cell>
          <cell r="E705">
            <v>9583.3333333333339</v>
          </cell>
          <cell r="F705">
            <v>115000</v>
          </cell>
          <cell r="N705">
            <v>10500</v>
          </cell>
          <cell r="P705" t="str">
            <v>Rtg</v>
          </cell>
          <cell r="AA705">
            <v>118000</v>
          </cell>
          <cell r="AB705" t="str">
            <v>dos</v>
          </cell>
        </row>
        <row r="706">
          <cell r="A706" t="str">
            <v>LUWAKB</v>
          </cell>
          <cell r="B706" t="str">
            <v>Kopi Luwak White Coffe Biasa</v>
          </cell>
          <cell r="C706">
            <v>10</v>
          </cell>
          <cell r="D706" t="str">
            <v>rtg</v>
          </cell>
          <cell r="E706">
            <v>10000</v>
          </cell>
          <cell r="F706">
            <v>200000</v>
          </cell>
          <cell r="G706">
            <v>1000</v>
          </cell>
          <cell r="N706">
            <v>11000</v>
          </cell>
          <cell r="O706">
            <v>10</v>
          </cell>
          <cell r="P706" t="str">
            <v>rtg</v>
          </cell>
        </row>
        <row r="707">
          <cell r="A707" t="str">
            <v>LUWAKC</v>
          </cell>
          <cell r="B707" t="str">
            <v>Kopi Luwak White Coffe Campur</v>
          </cell>
          <cell r="C707">
            <v>10</v>
          </cell>
          <cell r="D707" t="str">
            <v>rtg</v>
          </cell>
          <cell r="E707">
            <v>10333.333333333334</v>
          </cell>
          <cell r="F707">
            <v>186000</v>
          </cell>
          <cell r="G707">
            <v>1033.3333333333335</v>
          </cell>
          <cell r="N707">
            <v>11000</v>
          </cell>
          <cell r="O707">
            <v>10</v>
          </cell>
          <cell r="P707" t="str">
            <v>rtg</v>
          </cell>
          <cell r="AB707" t="str">
            <v>dos</v>
          </cell>
        </row>
        <row r="708">
          <cell r="A708" t="str">
            <v>MANTAP</v>
          </cell>
          <cell r="B708" t="str">
            <v>Kopi Mantap</v>
          </cell>
          <cell r="C708">
            <v>10</v>
          </cell>
          <cell r="D708" t="str">
            <v>rtg</v>
          </cell>
          <cell r="E708">
            <v>8916.6666666666661</v>
          </cell>
          <cell r="F708">
            <v>107000</v>
          </cell>
          <cell r="G708">
            <v>891.66666666666663</v>
          </cell>
          <cell r="N708">
            <v>10000</v>
          </cell>
          <cell r="O708">
            <v>10</v>
          </cell>
          <cell r="P708" t="str">
            <v>rtg</v>
          </cell>
          <cell r="AA708">
            <v>111000</v>
          </cell>
          <cell r="AB708" t="str">
            <v>dos</v>
          </cell>
        </row>
        <row r="709">
          <cell r="A709" t="str">
            <v>INDOCAFE</v>
          </cell>
          <cell r="B709" t="str">
            <v>Kopi Indocafe Capucino</v>
          </cell>
          <cell r="C709">
            <v>10</v>
          </cell>
          <cell r="D709" t="str">
            <v>rtg</v>
          </cell>
          <cell r="E709">
            <v>9950</v>
          </cell>
          <cell r="F709">
            <v>99500</v>
          </cell>
          <cell r="G709">
            <v>995</v>
          </cell>
          <cell r="N709">
            <v>11000</v>
          </cell>
          <cell r="O709">
            <v>10</v>
          </cell>
          <cell r="P709" t="str">
            <v>rtg</v>
          </cell>
          <cell r="AB709" t="str">
            <v>dos</v>
          </cell>
        </row>
        <row r="710">
          <cell r="A710" t="str">
            <v>MIX</v>
          </cell>
          <cell r="B710" t="str">
            <v>Kopi mix Rtg</v>
          </cell>
          <cell r="C710">
            <v>10</v>
          </cell>
          <cell r="D710" t="str">
            <v>rtg</v>
          </cell>
          <cell r="E710">
            <v>11140</v>
          </cell>
          <cell r="F710">
            <v>111400</v>
          </cell>
          <cell r="G710">
            <v>1114</v>
          </cell>
          <cell r="N710">
            <v>12000</v>
          </cell>
          <cell r="O710">
            <v>10</v>
          </cell>
          <cell r="P710" t="str">
            <v>rtg</v>
          </cell>
        </row>
        <row r="711">
          <cell r="A711" t="str">
            <v>EVERMIL</v>
          </cell>
          <cell r="B711" t="str">
            <v>Kopi PREZZO WHITE/CAPUCINO/COKLAT</v>
          </cell>
          <cell r="C711">
            <v>10</v>
          </cell>
          <cell r="D711" t="str">
            <v>rtg</v>
          </cell>
          <cell r="E711">
            <v>8583.3333333333339</v>
          </cell>
          <cell r="F711">
            <v>17166.666666666668</v>
          </cell>
          <cell r="G711">
            <v>858.33333333333337</v>
          </cell>
          <cell r="H711">
            <v>1500</v>
          </cell>
          <cell r="I711" t="str">
            <v>pc</v>
          </cell>
          <cell r="J711">
            <v>1500</v>
          </cell>
          <cell r="K711" t="str">
            <v>pc</v>
          </cell>
          <cell r="L711">
            <v>1500</v>
          </cell>
          <cell r="M711" t="str">
            <v>pc</v>
          </cell>
          <cell r="N711">
            <v>10000</v>
          </cell>
          <cell r="O711">
            <v>10</v>
          </cell>
          <cell r="P711" t="str">
            <v>rtg</v>
          </cell>
          <cell r="W711">
            <v>975</v>
          </cell>
          <cell r="X711" t="str">
            <v>pc</v>
          </cell>
          <cell r="Y711">
            <v>1000</v>
          </cell>
          <cell r="Z711" t="str">
            <v>pc</v>
          </cell>
          <cell r="AA711">
            <v>102000</v>
          </cell>
          <cell r="AB711" t="str">
            <v>dos</v>
          </cell>
        </row>
        <row r="712">
          <cell r="A712" t="str">
            <v>SURYA</v>
          </cell>
          <cell r="B712" t="str">
            <v>Kopi Surya</v>
          </cell>
          <cell r="C712">
            <v>10</v>
          </cell>
          <cell r="D712" t="str">
            <v>rtg</v>
          </cell>
          <cell r="E712">
            <v>8208.3333333333339</v>
          </cell>
          <cell r="F712">
            <v>98500</v>
          </cell>
          <cell r="G712">
            <v>820.83333333333337</v>
          </cell>
        </row>
        <row r="713">
          <cell r="A713" t="str">
            <v>TARIK</v>
          </cell>
          <cell r="B713" t="str">
            <v>Kopi Teh Tarik / Max Tea</v>
          </cell>
          <cell r="C713">
            <v>10</v>
          </cell>
          <cell r="D713" t="str">
            <v>rtg</v>
          </cell>
          <cell r="E713">
            <v>13444.444444444445</v>
          </cell>
          <cell r="F713">
            <v>49600</v>
          </cell>
          <cell r="G713">
            <v>1344.4444444444446</v>
          </cell>
          <cell r="N713">
            <v>15000</v>
          </cell>
          <cell r="O713">
            <v>10</v>
          </cell>
          <cell r="P713" t="str">
            <v>rtg</v>
          </cell>
          <cell r="AA713">
            <v>236000</v>
          </cell>
          <cell r="AB713" t="str">
            <v>dos</v>
          </cell>
        </row>
        <row r="714">
          <cell r="A714" t="str">
            <v>TOPW</v>
          </cell>
          <cell r="B714" t="str">
            <v>Kopi Top Susu/Top White Kopi</v>
          </cell>
          <cell r="C714">
            <v>10</v>
          </cell>
          <cell r="D714" t="str">
            <v>rtg</v>
          </cell>
          <cell r="E714">
            <v>8687.5</v>
          </cell>
          <cell r="F714">
            <v>69500</v>
          </cell>
          <cell r="G714">
            <v>868.75</v>
          </cell>
        </row>
        <row r="715">
          <cell r="A715" t="str">
            <v>TORANata</v>
          </cell>
          <cell r="B715" t="str">
            <v>Kopi Torabika Capucino Nata</v>
          </cell>
          <cell r="C715">
            <v>6</v>
          </cell>
          <cell r="D715" t="str">
            <v>rtg</v>
          </cell>
          <cell r="E715">
            <v>15000</v>
          </cell>
          <cell r="F715">
            <v>75000</v>
          </cell>
          <cell r="G715">
            <v>2500</v>
          </cell>
          <cell r="H715">
            <v>3500</v>
          </cell>
          <cell r="I715" t="str">
            <v>pc</v>
          </cell>
          <cell r="N715">
            <v>16000</v>
          </cell>
          <cell r="O715">
            <v>10</v>
          </cell>
          <cell r="P715" t="str">
            <v>rtg</v>
          </cell>
        </row>
        <row r="716">
          <cell r="A716" t="str">
            <v>TORAC</v>
          </cell>
          <cell r="B716" t="str">
            <v>Kopi Torabika Capucino / Creamy/CAFÉ</v>
          </cell>
          <cell r="C716">
            <v>10</v>
          </cell>
          <cell r="D716" t="str">
            <v>rtg</v>
          </cell>
          <cell r="E716">
            <v>13500</v>
          </cell>
          <cell r="F716">
            <v>161499.79999999999</v>
          </cell>
          <cell r="G716">
            <v>1350</v>
          </cell>
          <cell r="N716">
            <v>15000</v>
          </cell>
          <cell r="O716">
            <v>10</v>
          </cell>
          <cell r="P716" t="str">
            <v>rtg</v>
          </cell>
          <cell r="AA716">
            <v>160000</v>
          </cell>
          <cell r="AB716" t="str">
            <v>dos</v>
          </cell>
        </row>
        <row r="717">
          <cell r="A717" t="str">
            <v>TORAL</v>
          </cell>
          <cell r="B717" t="str">
            <v>Kopi Torabika Creamy Latte</v>
          </cell>
          <cell r="C717">
            <v>10</v>
          </cell>
          <cell r="D717" t="str">
            <v>rtg</v>
          </cell>
          <cell r="E717">
            <v>9900</v>
          </cell>
          <cell r="F717">
            <v>118800</v>
          </cell>
          <cell r="G717">
            <v>990</v>
          </cell>
          <cell r="N717">
            <v>11000</v>
          </cell>
          <cell r="O717">
            <v>10</v>
          </cell>
          <cell r="P717" t="str">
            <v>rtg</v>
          </cell>
        </row>
        <row r="718">
          <cell r="A718" t="str">
            <v>TORAM</v>
          </cell>
          <cell r="B718" t="str">
            <v>Kopi Torabika SUSU/MOKA//BROWN</v>
          </cell>
          <cell r="C718">
            <v>10</v>
          </cell>
          <cell r="D718" t="str">
            <v>rtg</v>
          </cell>
          <cell r="E718">
            <v>9249.9916666666668</v>
          </cell>
          <cell r="F718">
            <v>110999.9</v>
          </cell>
          <cell r="G718">
            <v>924.99916666666672</v>
          </cell>
          <cell r="N718">
            <v>11000</v>
          </cell>
          <cell r="O718">
            <v>10</v>
          </cell>
          <cell r="P718" t="str">
            <v>rtg</v>
          </cell>
          <cell r="Y718">
            <v>1100</v>
          </cell>
          <cell r="Z718">
            <v>0</v>
          </cell>
          <cell r="AA718">
            <v>121000</v>
          </cell>
          <cell r="AB718" t="str">
            <v>dos</v>
          </cell>
        </row>
        <row r="719">
          <cell r="A719" t="str">
            <v>TORAD</v>
          </cell>
          <cell r="B719" t="str">
            <v>Kopi Torabika /DUO</v>
          </cell>
          <cell r="C719">
            <v>10</v>
          </cell>
          <cell r="D719" t="str">
            <v>rtg</v>
          </cell>
          <cell r="E719">
            <v>8166.6750000000002</v>
          </cell>
          <cell r="F719">
            <v>98000.1</v>
          </cell>
          <cell r="G719">
            <v>816.66750000000002</v>
          </cell>
          <cell r="N719">
            <v>10000</v>
          </cell>
          <cell r="O719">
            <v>10</v>
          </cell>
          <cell r="P719" t="str">
            <v>rtg</v>
          </cell>
        </row>
        <row r="720">
          <cell r="A720" t="str">
            <v>KAYU</v>
          </cell>
          <cell r="B720" t="str">
            <v>Korek Kayu Cap Korek Kayu</v>
          </cell>
          <cell r="C720">
            <v>10</v>
          </cell>
          <cell r="D720" t="str">
            <v>pak</v>
          </cell>
          <cell r="E720">
            <v>2500</v>
          </cell>
          <cell r="F720">
            <v>25000</v>
          </cell>
          <cell r="G720">
            <v>250</v>
          </cell>
          <cell r="H720">
            <v>4000</v>
          </cell>
          <cell r="I720" t="str">
            <v>pc</v>
          </cell>
          <cell r="J720">
            <v>4000</v>
          </cell>
          <cell r="K720" t="str">
            <v>pc</v>
          </cell>
          <cell r="L720">
            <v>3500</v>
          </cell>
          <cell r="M720" t="str">
            <v>pc</v>
          </cell>
          <cell r="Q720">
            <v>28000</v>
          </cell>
          <cell r="R720">
            <v>10</v>
          </cell>
          <cell r="S720" t="str">
            <v>pak</v>
          </cell>
          <cell r="W720">
            <v>2750</v>
          </cell>
          <cell r="X720" t="str">
            <v>pc</v>
          </cell>
          <cell r="Y720">
            <v>2800</v>
          </cell>
          <cell r="Z720" t="str">
            <v>pc</v>
          </cell>
          <cell r="AA720">
            <v>155000</v>
          </cell>
          <cell r="AB720" t="str">
            <v>bal</v>
          </cell>
        </row>
        <row r="721">
          <cell r="A721" t="str">
            <v>RZK</v>
          </cell>
          <cell r="B721" t="str">
            <v>Korek RZK</v>
          </cell>
          <cell r="C721">
            <v>50</v>
          </cell>
          <cell r="D721" t="str">
            <v>pcs</v>
          </cell>
          <cell r="E721">
            <v>63500</v>
          </cell>
          <cell r="F721">
            <v>15240</v>
          </cell>
          <cell r="G721">
            <v>1270</v>
          </cell>
        </row>
        <row r="722">
          <cell r="A722" t="str">
            <v>TOKAI</v>
          </cell>
          <cell r="B722" t="str">
            <v>Korek Tokai</v>
          </cell>
          <cell r="C722">
            <v>50</v>
          </cell>
          <cell r="D722" t="str">
            <v>pak</v>
          </cell>
          <cell r="E722">
            <v>82000</v>
          </cell>
          <cell r="F722">
            <v>19680</v>
          </cell>
          <cell r="G722">
            <v>1640</v>
          </cell>
          <cell r="H722">
            <v>2000</v>
          </cell>
          <cell r="I722" t="str">
            <v>pc</v>
          </cell>
          <cell r="J722">
            <v>2000</v>
          </cell>
          <cell r="K722" t="str">
            <v>pc</v>
          </cell>
          <cell r="L722">
            <v>1900</v>
          </cell>
          <cell r="M722" t="str">
            <v>pc</v>
          </cell>
          <cell r="T722">
            <v>23000</v>
          </cell>
          <cell r="U722">
            <v>12</v>
          </cell>
          <cell r="V722" t="str">
            <v>lsn</v>
          </cell>
          <cell r="W722">
            <v>1900</v>
          </cell>
          <cell r="X722" t="str">
            <v>pc</v>
          </cell>
          <cell r="Y722">
            <v>1916.6666666666667</v>
          </cell>
          <cell r="Z722" t="str">
            <v>pc</v>
          </cell>
          <cell r="AA722">
            <v>86000</v>
          </cell>
          <cell r="AB722" t="str">
            <v>pak</v>
          </cell>
        </row>
        <row r="723">
          <cell r="A723" t="str">
            <v>EMPINGBOLA</v>
          </cell>
          <cell r="B723" t="str">
            <v>Emping BOLA</v>
          </cell>
          <cell r="C723">
            <v>5</v>
          </cell>
          <cell r="D723" t="str">
            <v>kg</v>
          </cell>
          <cell r="E723">
            <v>360000</v>
          </cell>
          <cell r="F723">
            <v>540000</v>
          </cell>
          <cell r="G723">
            <v>72000</v>
          </cell>
          <cell r="H723">
            <v>75000</v>
          </cell>
          <cell r="I723" t="str">
            <v>kg</v>
          </cell>
          <cell r="J723">
            <v>75000</v>
          </cell>
          <cell r="K723" t="str">
            <v>kg</v>
          </cell>
          <cell r="L723">
            <v>75000</v>
          </cell>
          <cell r="M723" t="str">
            <v>kg</v>
          </cell>
        </row>
        <row r="724">
          <cell r="A724" t="str">
            <v>EMPINGKERANG</v>
          </cell>
          <cell r="B724" t="str">
            <v>Emping Kerang</v>
          </cell>
          <cell r="C724">
            <v>5</v>
          </cell>
          <cell r="D724" t="str">
            <v>kg</v>
          </cell>
          <cell r="E724">
            <v>250000</v>
          </cell>
          <cell r="F724">
            <v>540000</v>
          </cell>
          <cell r="G724">
            <v>50000</v>
          </cell>
        </row>
        <row r="725">
          <cell r="A725" t="str">
            <v>BAWANGF</v>
          </cell>
          <cell r="B725" t="str">
            <v>Krupuk Bawang Festa Kecil</v>
          </cell>
          <cell r="C725">
            <v>5</v>
          </cell>
          <cell r="D725" t="str">
            <v>pcs</v>
          </cell>
          <cell r="E725">
            <v>56000</v>
          </cell>
          <cell r="G725">
            <v>11200</v>
          </cell>
        </row>
        <row r="726">
          <cell r="A726" t="str">
            <v>KRUPUKFS</v>
          </cell>
          <cell r="B726" t="str">
            <v>Krupuk SENNA B</v>
          </cell>
          <cell r="C726">
            <v>6</v>
          </cell>
          <cell r="D726" t="str">
            <v>pcs</v>
          </cell>
          <cell r="E726">
            <v>51000</v>
          </cell>
          <cell r="G726">
            <v>8500</v>
          </cell>
          <cell r="H726">
            <v>9500</v>
          </cell>
          <cell r="I726" t="str">
            <v>pc</v>
          </cell>
          <cell r="J726">
            <v>9500</v>
          </cell>
          <cell r="K726" t="str">
            <v>pc</v>
          </cell>
          <cell r="L726">
            <v>9500</v>
          </cell>
          <cell r="M726" t="str">
            <v>pc</v>
          </cell>
        </row>
        <row r="727">
          <cell r="A727" t="str">
            <v>KRUPUKU</v>
          </cell>
          <cell r="B727" t="str">
            <v>Krupuk UDANG KILOAN</v>
          </cell>
          <cell r="C727">
            <v>5</v>
          </cell>
          <cell r="D727" t="str">
            <v>kg</v>
          </cell>
          <cell r="E727">
            <v>132000</v>
          </cell>
          <cell r="G727">
            <v>26400</v>
          </cell>
          <cell r="H727">
            <v>7500</v>
          </cell>
          <cell r="I727" t="str">
            <v>bks</v>
          </cell>
          <cell r="J727">
            <v>7500</v>
          </cell>
          <cell r="K727" t="str">
            <v>bks</v>
          </cell>
        </row>
        <row r="728">
          <cell r="A728" t="str">
            <v>BANGUNB</v>
          </cell>
          <cell r="B728" t="str">
            <v>Krupuk Kota Bangun BESAR</v>
          </cell>
          <cell r="C728">
            <v>1</v>
          </cell>
          <cell r="D728" t="str">
            <v>pak</v>
          </cell>
          <cell r="E728">
            <v>18000</v>
          </cell>
          <cell r="F728">
            <v>756000</v>
          </cell>
          <cell r="G728">
            <v>18000</v>
          </cell>
          <cell r="H728">
            <v>20000</v>
          </cell>
          <cell r="I728" t="str">
            <v>pc</v>
          </cell>
          <cell r="J728">
            <v>20000</v>
          </cell>
          <cell r="K728" t="str">
            <v>pc</v>
          </cell>
          <cell r="L728">
            <v>19500</v>
          </cell>
          <cell r="M728" t="str">
            <v>pc</v>
          </cell>
        </row>
        <row r="729">
          <cell r="A729" t="str">
            <v>BANGUNK</v>
          </cell>
          <cell r="B729" t="str">
            <v>Krupuk Kota Bangun KECIL</v>
          </cell>
          <cell r="C729">
            <v>1</v>
          </cell>
          <cell r="D729" t="str">
            <v>pak</v>
          </cell>
          <cell r="E729">
            <v>9000</v>
          </cell>
          <cell r="G729">
            <v>9000</v>
          </cell>
          <cell r="H729">
            <v>11000</v>
          </cell>
          <cell r="I729" t="str">
            <v>pc</v>
          </cell>
          <cell r="J729">
            <v>11000</v>
          </cell>
          <cell r="K729" t="str">
            <v>pc</v>
          </cell>
          <cell r="L729">
            <v>11000</v>
          </cell>
          <cell r="M729" t="str">
            <v>pc</v>
          </cell>
        </row>
        <row r="730">
          <cell r="A730" t="str">
            <v>MAKARONIM</v>
          </cell>
          <cell r="B730" t="str">
            <v>Krupuk Makaroni Mentah 1 KG</v>
          </cell>
          <cell r="C730">
            <v>10</v>
          </cell>
          <cell r="D730" t="str">
            <v>pak</v>
          </cell>
          <cell r="E730">
            <v>141000</v>
          </cell>
          <cell r="G730">
            <v>14100</v>
          </cell>
          <cell r="H730">
            <v>15000</v>
          </cell>
          <cell r="I730" t="str">
            <v>bks</v>
          </cell>
          <cell r="J730">
            <v>15000</v>
          </cell>
          <cell r="K730" t="str">
            <v>bks</v>
          </cell>
          <cell r="L730">
            <v>15000</v>
          </cell>
          <cell r="M730" t="str">
            <v>bks</v>
          </cell>
          <cell r="W730">
            <v>15000</v>
          </cell>
          <cell r="X730" t="str">
            <v>bks</v>
          </cell>
          <cell r="AA730">
            <v>145000</v>
          </cell>
          <cell r="AB730" t="str">
            <v>bal</v>
          </cell>
        </row>
        <row r="731">
          <cell r="A731" t="str">
            <v>MAKARONIP</v>
          </cell>
          <cell r="B731" t="str">
            <v>Krupuk Makaroni PEDAS</v>
          </cell>
          <cell r="C731">
            <v>25</v>
          </cell>
          <cell r="D731" t="str">
            <v>pak</v>
          </cell>
          <cell r="E731">
            <v>14000</v>
          </cell>
          <cell r="F731">
            <v>81000</v>
          </cell>
          <cell r="G731">
            <v>560</v>
          </cell>
          <cell r="Q731">
            <v>15000</v>
          </cell>
          <cell r="S731" t="str">
            <v>pak</v>
          </cell>
        </row>
        <row r="732">
          <cell r="A732" t="str">
            <v>BRASA</v>
          </cell>
          <cell r="B732" t="str">
            <v>Krupuk BRASA</v>
          </cell>
          <cell r="C732">
            <v>10</v>
          </cell>
          <cell r="D732" t="str">
            <v>pcs</v>
          </cell>
          <cell r="E732">
            <v>76500</v>
          </cell>
          <cell r="G732">
            <v>7650</v>
          </cell>
          <cell r="H732">
            <v>9000</v>
          </cell>
          <cell r="I732" t="str">
            <v>bks</v>
          </cell>
          <cell r="J732">
            <v>9000</v>
          </cell>
          <cell r="K732" t="str">
            <v>bks</v>
          </cell>
          <cell r="L732">
            <v>8500</v>
          </cell>
          <cell r="M732" t="str">
            <v>bks</v>
          </cell>
        </row>
        <row r="733">
          <cell r="A733" t="str">
            <v>UNYIL</v>
          </cell>
          <cell r="B733" t="str">
            <v>Krupuk Unyil</v>
          </cell>
          <cell r="C733">
            <v>20</v>
          </cell>
          <cell r="D733" t="str">
            <v>pcs</v>
          </cell>
          <cell r="E733">
            <v>64000</v>
          </cell>
          <cell r="F733">
            <v>38400</v>
          </cell>
          <cell r="G733">
            <v>3200</v>
          </cell>
          <cell r="H733">
            <v>4000</v>
          </cell>
          <cell r="I733" t="str">
            <v>bks</v>
          </cell>
          <cell r="J733">
            <v>4000</v>
          </cell>
          <cell r="K733" t="str">
            <v>bks</v>
          </cell>
          <cell r="L733">
            <v>3500</v>
          </cell>
          <cell r="M733" t="str">
            <v>bks</v>
          </cell>
          <cell r="T733">
            <v>41000</v>
          </cell>
          <cell r="U733">
            <v>12</v>
          </cell>
          <cell r="V733" t="str">
            <v>lsn</v>
          </cell>
          <cell r="W733">
            <v>3400</v>
          </cell>
          <cell r="X733" t="str">
            <v>bks</v>
          </cell>
          <cell r="Y733">
            <v>3416.6666666666665</v>
          </cell>
          <cell r="Z733" t="str">
            <v>bks</v>
          </cell>
          <cell r="AA733">
            <v>67000</v>
          </cell>
          <cell r="AB733" t="str">
            <v>bal</v>
          </cell>
        </row>
        <row r="734">
          <cell r="A734" t="str">
            <v>CERIA</v>
          </cell>
          <cell r="B734" t="str">
            <v>KRUPUK CERIA</v>
          </cell>
          <cell r="C734">
            <v>10</v>
          </cell>
          <cell r="D734" t="str">
            <v>pcs</v>
          </cell>
          <cell r="E734">
            <v>76000</v>
          </cell>
          <cell r="G734">
            <v>7600</v>
          </cell>
          <cell r="H734">
            <v>9000</v>
          </cell>
          <cell r="I734" t="str">
            <v>pc</v>
          </cell>
          <cell r="J734">
            <v>9000</v>
          </cell>
          <cell r="K734" t="str">
            <v>pc</v>
          </cell>
          <cell r="L734">
            <v>9000</v>
          </cell>
          <cell r="M734" t="str">
            <v>pc</v>
          </cell>
        </row>
        <row r="735">
          <cell r="A735" t="str">
            <v>WEIMARIE</v>
          </cell>
          <cell r="B735" t="str">
            <v>Kue Lebaran WEIMARIE</v>
          </cell>
          <cell r="C735">
            <v>6</v>
          </cell>
          <cell r="D735" t="str">
            <v>bks</v>
          </cell>
          <cell r="E735">
            <v>55000</v>
          </cell>
          <cell r="G735">
            <v>9166.6666666666661</v>
          </cell>
          <cell r="AA735">
            <v>65000</v>
          </cell>
          <cell r="AB735" t="str">
            <v>dos</v>
          </cell>
        </row>
        <row r="736">
          <cell r="A736" t="str">
            <v>FAVORITE</v>
          </cell>
          <cell r="B736" t="str">
            <v>Kue Lebaran BONIBON FAVORITE</v>
          </cell>
          <cell r="C736">
            <v>5</v>
          </cell>
          <cell r="D736" t="str">
            <v>bks</v>
          </cell>
          <cell r="E736">
            <v>45000</v>
          </cell>
          <cell r="G736">
            <v>9000</v>
          </cell>
          <cell r="AA736">
            <v>55000</v>
          </cell>
          <cell r="AB736" t="str">
            <v>dos</v>
          </cell>
        </row>
        <row r="737">
          <cell r="A737" t="str">
            <v>BONIBONPOP</v>
          </cell>
          <cell r="B737" t="str">
            <v>Kue Lebaran BONIBON POP</v>
          </cell>
          <cell r="C737">
            <v>6</v>
          </cell>
          <cell r="D737" t="str">
            <v>bks</v>
          </cell>
          <cell r="E737">
            <v>55000</v>
          </cell>
          <cell r="G737">
            <v>9166.6666666666661</v>
          </cell>
          <cell r="AA737">
            <v>65000</v>
          </cell>
          <cell r="AB737" t="str">
            <v>dos</v>
          </cell>
        </row>
        <row r="738">
          <cell r="A738" t="str">
            <v>SUMPIA</v>
          </cell>
          <cell r="B738" t="str">
            <v>Kue Lebaran SUMPIA</v>
          </cell>
          <cell r="C738">
            <v>8</v>
          </cell>
          <cell r="D738" t="str">
            <v>bks</v>
          </cell>
          <cell r="E738">
            <v>125000</v>
          </cell>
          <cell r="G738">
            <v>15625</v>
          </cell>
          <cell r="H738">
            <v>19000</v>
          </cell>
          <cell r="I738" t="str">
            <v>Bks</v>
          </cell>
          <cell r="J738">
            <v>19000</v>
          </cell>
          <cell r="K738" t="str">
            <v>bks</v>
          </cell>
          <cell r="L738">
            <v>18500</v>
          </cell>
          <cell r="M738" t="str">
            <v>bks</v>
          </cell>
          <cell r="AA738">
            <v>66000</v>
          </cell>
          <cell r="AB738" t="str">
            <v>dos</v>
          </cell>
        </row>
        <row r="739">
          <cell r="A739" t="str">
            <v>KECIPUT</v>
          </cell>
          <cell r="B739" t="str">
            <v>Kue Lebaran KECIPUT</v>
          </cell>
          <cell r="C739">
            <v>8</v>
          </cell>
          <cell r="D739" t="str">
            <v>bks</v>
          </cell>
          <cell r="E739">
            <v>112000</v>
          </cell>
          <cell r="G739">
            <v>14000</v>
          </cell>
          <cell r="H739">
            <v>19000</v>
          </cell>
          <cell r="I739" t="str">
            <v>Bks</v>
          </cell>
          <cell r="J739">
            <v>19000</v>
          </cell>
          <cell r="K739" t="str">
            <v>bks</v>
          </cell>
          <cell r="L739">
            <v>18500</v>
          </cell>
          <cell r="M739" t="str">
            <v>bks</v>
          </cell>
          <cell r="AA739">
            <v>66000</v>
          </cell>
          <cell r="AB739" t="str">
            <v>dos</v>
          </cell>
        </row>
        <row r="740">
          <cell r="A740" t="str">
            <v>KOROKULIT</v>
          </cell>
          <cell r="B740" t="str">
            <v>Kue Lebaran KORO KULIT</v>
          </cell>
          <cell r="C740">
            <v>8</v>
          </cell>
          <cell r="D740" t="str">
            <v>bks</v>
          </cell>
          <cell r="E740">
            <v>122000</v>
          </cell>
          <cell r="G740">
            <v>15250</v>
          </cell>
          <cell r="H740">
            <v>19000</v>
          </cell>
          <cell r="I740" t="str">
            <v>Bks</v>
          </cell>
          <cell r="J740">
            <v>19000</v>
          </cell>
          <cell r="K740" t="str">
            <v>bks</v>
          </cell>
          <cell r="L740">
            <v>18500</v>
          </cell>
          <cell r="M740" t="str">
            <v>bks</v>
          </cell>
          <cell r="AA740">
            <v>66000</v>
          </cell>
          <cell r="AB740" t="str">
            <v>dos</v>
          </cell>
        </row>
        <row r="741">
          <cell r="A741" t="str">
            <v>KOROKUPAS</v>
          </cell>
          <cell r="B741" t="str">
            <v>Kue Lebaran KORO KUPAS</v>
          </cell>
          <cell r="C741">
            <v>8</v>
          </cell>
          <cell r="D741" t="str">
            <v>bks</v>
          </cell>
          <cell r="E741">
            <v>87000</v>
          </cell>
          <cell r="G741">
            <v>10875</v>
          </cell>
          <cell r="H741">
            <v>15000</v>
          </cell>
          <cell r="I741" t="str">
            <v>Bks</v>
          </cell>
          <cell r="J741">
            <v>15000</v>
          </cell>
          <cell r="K741" t="str">
            <v>bks</v>
          </cell>
          <cell r="L741">
            <v>14500</v>
          </cell>
          <cell r="M741" t="str">
            <v>bks</v>
          </cell>
          <cell r="AA741">
            <v>66000</v>
          </cell>
          <cell r="AB741" t="str">
            <v>dos</v>
          </cell>
        </row>
        <row r="742">
          <cell r="A742" t="str">
            <v>NUGRANDYS</v>
          </cell>
          <cell r="B742" t="str">
            <v>Kue Lebaran NU GRANDY STANDART</v>
          </cell>
          <cell r="C742">
            <v>6</v>
          </cell>
          <cell r="D742" t="str">
            <v>pak</v>
          </cell>
          <cell r="E742">
            <v>50000</v>
          </cell>
          <cell r="G742">
            <v>8333.3333333333339</v>
          </cell>
          <cell r="AA742">
            <v>55000</v>
          </cell>
          <cell r="AB742" t="str">
            <v>dos</v>
          </cell>
        </row>
        <row r="743">
          <cell r="A743" t="str">
            <v>HARUMWANGI</v>
          </cell>
          <cell r="B743" t="str">
            <v>Kue Lebaran HARUM WANGI</v>
          </cell>
          <cell r="C743">
            <v>6</v>
          </cell>
          <cell r="D743" t="str">
            <v>tpl</v>
          </cell>
          <cell r="E743">
            <v>49000</v>
          </cell>
          <cell r="G743">
            <v>8166.666666666667</v>
          </cell>
          <cell r="AA743">
            <v>55000</v>
          </cell>
          <cell r="AB743" t="str">
            <v>dos</v>
          </cell>
        </row>
        <row r="744">
          <cell r="A744" t="str">
            <v>NUGRANDYP</v>
          </cell>
          <cell r="B744" t="str">
            <v>Kue Lebaran NU GRANDY PINGUIN</v>
          </cell>
          <cell r="C744">
            <v>6</v>
          </cell>
          <cell r="D744" t="str">
            <v>tpl</v>
          </cell>
          <cell r="E744">
            <v>56000</v>
          </cell>
          <cell r="G744">
            <v>9333.3333333333339</v>
          </cell>
          <cell r="AA744">
            <v>60000</v>
          </cell>
          <cell r="AB744" t="str">
            <v>dos</v>
          </cell>
        </row>
        <row r="745">
          <cell r="A745" t="str">
            <v>WIJENB</v>
          </cell>
          <cell r="B745" t="str">
            <v>Kue Wijen 99</v>
          </cell>
          <cell r="C745">
            <v>20</v>
          </cell>
          <cell r="D745" t="str">
            <v>pak</v>
          </cell>
          <cell r="E745">
            <v>151000</v>
          </cell>
          <cell r="F745">
            <v>90600</v>
          </cell>
          <cell r="G745">
            <v>7550</v>
          </cell>
          <cell r="H745">
            <v>8500</v>
          </cell>
          <cell r="I745" t="str">
            <v>pc</v>
          </cell>
          <cell r="J745">
            <v>8200</v>
          </cell>
          <cell r="K745" t="str">
            <v>pc</v>
          </cell>
          <cell r="L745">
            <v>7900</v>
          </cell>
          <cell r="M745" t="str">
            <v>pc</v>
          </cell>
          <cell r="T745">
            <v>93500</v>
          </cell>
          <cell r="U745">
            <v>12</v>
          </cell>
          <cell r="V745" t="str">
            <v>lsn</v>
          </cell>
          <cell r="W745">
            <v>7700</v>
          </cell>
          <cell r="X745" t="str">
            <v>pc</v>
          </cell>
          <cell r="Y745">
            <v>7791.666666666667</v>
          </cell>
          <cell r="Z745" t="str">
            <v>pc</v>
          </cell>
          <cell r="AA745">
            <v>154000</v>
          </cell>
          <cell r="AB745" t="str">
            <v>dos</v>
          </cell>
        </row>
        <row r="746">
          <cell r="A746" t="str">
            <v>KURMA</v>
          </cell>
          <cell r="B746" t="str">
            <v>KURMA</v>
          </cell>
          <cell r="C746">
            <v>24</v>
          </cell>
          <cell r="D746" t="str">
            <v>pcs</v>
          </cell>
          <cell r="E746">
            <v>456000</v>
          </cell>
          <cell r="F746">
            <v>228000</v>
          </cell>
          <cell r="G746">
            <v>19000</v>
          </cell>
          <cell r="H746">
            <v>21000</v>
          </cell>
          <cell r="I746" t="str">
            <v>pc</v>
          </cell>
          <cell r="J746">
            <v>20500</v>
          </cell>
          <cell r="K746" t="str">
            <v>pc</v>
          </cell>
        </row>
        <row r="747">
          <cell r="A747" t="str">
            <v>BAWANGP</v>
          </cell>
          <cell r="B747" t="str">
            <v>Bawang Putinh Bubuk</v>
          </cell>
          <cell r="C747">
            <v>12</v>
          </cell>
          <cell r="D747" t="str">
            <v>rttg</v>
          </cell>
          <cell r="E747">
            <v>3300</v>
          </cell>
          <cell r="F747">
            <v>33000</v>
          </cell>
          <cell r="G747">
            <v>275</v>
          </cell>
          <cell r="N747">
            <v>5500</v>
          </cell>
          <cell r="O747">
            <v>12</v>
          </cell>
          <cell r="P747" t="str">
            <v>rtg</v>
          </cell>
        </row>
        <row r="748">
          <cell r="A748" t="str">
            <v>KUNYIT</v>
          </cell>
          <cell r="B748" t="str">
            <v>Kunyit Bubuk</v>
          </cell>
          <cell r="C748">
            <v>12</v>
          </cell>
          <cell r="D748" t="str">
            <v>rttg</v>
          </cell>
          <cell r="E748">
            <v>10312.5</v>
          </cell>
          <cell r="F748">
            <v>20625</v>
          </cell>
          <cell r="G748">
            <v>859.375</v>
          </cell>
          <cell r="H748">
            <v>1000</v>
          </cell>
          <cell r="I748" t="str">
            <v>pc</v>
          </cell>
          <cell r="N748">
            <v>11000</v>
          </cell>
          <cell r="O748">
            <v>12</v>
          </cell>
          <cell r="P748" t="str">
            <v>rtg</v>
          </cell>
        </row>
        <row r="749">
          <cell r="A749" t="str">
            <v>LADAKU</v>
          </cell>
          <cell r="B749" t="str">
            <v>Merica Ladaku 1000</v>
          </cell>
          <cell r="C749">
            <v>12</v>
          </cell>
          <cell r="D749" t="str">
            <v>rtg</v>
          </cell>
          <cell r="E749">
            <v>9750</v>
          </cell>
          <cell r="F749">
            <v>58500</v>
          </cell>
          <cell r="G749">
            <v>812.5</v>
          </cell>
          <cell r="H749">
            <v>1000</v>
          </cell>
          <cell r="I749" t="str">
            <v>pc</v>
          </cell>
          <cell r="J749">
            <v>1000</v>
          </cell>
          <cell r="K749" t="str">
            <v>pc</v>
          </cell>
          <cell r="L749">
            <v>1000</v>
          </cell>
          <cell r="M749" t="str">
            <v>pc</v>
          </cell>
          <cell r="N749">
            <v>11000</v>
          </cell>
          <cell r="O749">
            <v>12</v>
          </cell>
          <cell r="P749" t="str">
            <v>rtg</v>
          </cell>
        </row>
        <row r="750">
          <cell r="A750" t="str">
            <v>MERICA</v>
          </cell>
          <cell r="B750" t="str">
            <v>MERICA SELERAKU</v>
          </cell>
          <cell r="C750">
            <v>12</v>
          </cell>
          <cell r="D750" t="str">
            <v>rtg</v>
          </cell>
          <cell r="E750">
            <v>9020.8333333333339</v>
          </cell>
          <cell r="F750">
            <v>36083.333333333336</v>
          </cell>
          <cell r="G750">
            <v>751.7361111111112</v>
          </cell>
          <cell r="N750">
            <v>10000</v>
          </cell>
          <cell r="O750">
            <v>12</v>
          </cell>
          <cell r="P750" t="str">
            <v>rtg</v>
          </cell>
          <cell r="Q750">
            <v>39000</v>
          </cell>
          <cell r="S750" t="str">
            <v>pak</v>
          </cell>
          <cell r="AA750">
            <v>437000</v>
          </cell>
          <cell r="AB750" t="str">
            <v>dos</v>
          </cell>
        </row>
        <row r="751">
          <cell r="A751" t="str">
            <v>LAG1350</v>
          </cell>
          <cell r="B751" t="str">
            <v>LAGTOGEN 1 350 GR</v>
          </cell>
          <cell r="C751">
            <v>24</v>
          </cell>
          <cell r="D751" t="str">
            <v>ktk</v>
          </cell>
          <cell r="E751">
            <v>1274160</v>
          </cell>
          <cell r="G751">
            <v>53090</v>
          </cell>
          <cell r="H751">
            <v>56000</v>
          </cell>
          <cell r="I751" t="str">
            <v>ktk</v>
          </cell>
          <cell r="J751">
            <v>56000</v>
          </cell>
          <cell r="K751" t="str">
            <v>ktk</v>
          </cell>
          <cell r="L751">
            <v>52000</v>
          </cell>
          <cell r="M751" t="str">
            <v>ktk</v>
          </cell>
        </row>
        <row r="752">
          <cell r="A752" t="str">
            <v>LAG1180</v>
          </cell>
          <cell r="B752" t="str">
            <v>LAGTOGEN 1 180 GR</v>
          </cell>
          <cell r="C752">
            <v>40</v>
          </cell>
          <cell r="D752" t="str">
            <v>ktk</v>
          </cell>
          <cell r="E752">
            <v>1145440</v>
          </cell>
          <cell r="G752">
            <v>28636</v>
          </cell>
          <cell r="H752">
            <v>28000</v>
          </cell>
          <cell r="I752" t="str">
            <v>ktk</v>
          </cell>
          <cell r="J752">
            <v>27500</v>
          </cell>
          <cell r="K752" t="str">
            <v>ktk</v>
          </cell>
          <cell r="L752">
            <v>27000</v>
          </cell>
          <cell r="M752" t="str">
            <v>ktk</v>
          </cell>
        </row>
        <row r="753">
          <cell r="A753" t="str">
            <v>LAG1750</v>
          </cell>
          <cell r="B753" t="str">
            <v>LAGTOGEN 1 750 GR</v>
          </cell>
          <cell r="C753">
            <v>12</v>
          </cell>
          <cell r="D753" t="str">
            <v>ktk</v>
          </cell>
          <cell r="E753">
            <v>1296000</v>
          </cell>
          <cell r="G753">
            <v>108000</v>
          </cell>
          <cell r="H753">
            <v>111000</v>
          </cell>
          <cell r="I753" t="str">
            <v>ktk</v>
          </cell>
          <cell r="J753">
            <v>111000</v>
          </cell>
          <cell r="K753" t="str">
            <v>ktk</v>
          </cell>
          <cell r="L753">
            <v>110000</v>
          </cell>
          <cell r="M753" t="str">
            <v>ktk</v>
          </cell>
        </row>
        <row r="754">
          <cell r="A754" t="str">
            <v>LAG2350</v>
          </cell>
          <cell r="B754" t="str">
            <v>LAGTOGEN 2 350 GR</v>
          </cell>
          <cell r="C754">
            <v>24</v>
          </cell>
          <cell r="D754" t="str">
            <v>ktk</v>
          </cell>
          <cell r="E754">
            <v>1274160</v>
          </cell>
          <cell r="G754">
            <v>53090</v>
          </cell>
          <cell r="H754">
            <v>52500</v>
          </cell>
          <cell r="I754" t="str">
            <v>ktk</v>
          </cell>
          <cell r="J754">
            <v>52500</v>
          </cell>
          <cell r="K754" t="str">
            <v>ktk</v>
          </cell>
          <cell r="L754">
            <v>52000</v>
          </cell>
          <cell r="M754" t="str">
            <v>ktk</v>
          </cell>
        </row>
        <row r="755">
          <cell r="A755" t="str">
            <v>LAG2750</v>
          </cell>
          <cell r="B755" t="str">
            <v>LAGTOGEN 2 750 GR</v>
          </cell>
          <cell r="C755">
            <v>12</v>
          </cell>
          <cell r="D755" t="str">
            <v>ktk</v>
          </cell>
          <cell r="E755">
            <v>1296000</v>
          </cell>
          <cell r="G755">
            <v>108000</v>
          </cell>
          <cell r="H755">
            <v>111000</v>
          </cell>
          <cell r="I755" t="str">
            <v>ktk</v>
          </cell>
          <cell r="J755">
            <v>111000</v>
          </cell>
          <cell r="K755" t="str">
            <v>ktk</v>
          </cell>
          <cell r="L755">
            <v>110000</v>
          </cell>
        </row>
        <row r="756">
          <cell r="A756" t="str">
            <v>LAG3350</v>
          </cell>
          <cell r="B756" t="str">
            <v>LAGTOGEN 3 350 GR</v>
          </cell>
          <cell r="C756">
            <v>24</v>
          </cell>
          <cell r="D756" t="str">
            <v>ktk</v>
          </cell>
          <cell r="E756">
            <v>1176000</v>
          </cell>
          <cell r="G756">
            <v>49000</v>
          </cell>
          <cell r="H756">
            <v>51000</v>
          </cell>
          <cell r="I756" t="str">
            <v>ktk</v>
          </cell>
          <cell r="J756">
            <v>51000</v>
          </cell>
          <cell r="K756" t="str">
            <v>ktk</v>
          </cell>
          <cell r="L756">
            <v>51000</v>
          </cell>
          <cell r="M756" t="str">
            <v>ktk</v>
          </cell>
        </row>
        <row r="757">
          <cell r="A757" t="str">
            <v>LAG3750</v>
          </cell>
          <cell r="B757" t="str">
            <v>LAGTOGEN 3 750 GR</v>
          </cell>
          <cell r="C757">
            <v>12</v>
          </cell>
          <cell r="D757" t="str">
            <v>ktk</v>
          </cell>
          <cell r="E757">
            <v>1206552</v>
          </cell>
          <cell r="G757">
            <v>100546</v>
          </cell>
          <cell r="H757">
            <v>103000</v>
          </cell>
          <cell r="I757" t="str">
            <v>ktk</v>
          </cell>
          <cell r="J757">
            <v>103000</v>
          </cell>
          <cell r="K757" t="str">
            <v>ktk</v>
          </cell>
          <cell r="L757">
            <v>103000</v>
          </cell>
          <cell r="M757" t="str">
            <v>ktk</v>
          </cell>
        </row>
        <row r="758">
          <cell r="A758" t="str">
            <v>LAG4350</v>
          </cell>
          <cell r="B758" t="str">
            <v>LAGTOGEN 4 350 GR</v>
          </cell>
          <cell r="C758">
            <v>24</v>
          </cell>
          <cell r="D758" t="str">
            <v>ktk</v>
          </cell>
          <cell r="E758">
            <v>1080000</v>
          </cell>
          <cell r="G758">
            <v>45000</v>
          </cell>
          <cell r="H758">
            <v>48500</v>
          </cell>
          <cell r="I758" t="str">
            <v>ktk</v>
          </cell>
          <cell r="J758">
            <v>48500</v>
          </cell>
          <cell r="K758" t="str">
            <v>ktk</v>
          </cell>
          <cell r="L758">
            <v>48500</v>
          </cell>
          <cell r="M758" t="str">
            <v>ktk</v>
          </cell>
        </row>
        <row r="759">
          <cell r="A759" t="str">
            <v>LAG4750</v>
          </cell>
          <cell r="B759" t="str">
            <v>LAGTOGEN 4 750 GR</v>
          </cell>
          <cell r="C759">
            <v>12</v>
          </cell>
          <cell r="D759" t="str">
            <v>ktk</v>
          </cell>
          <cell r="E759">
            <v>1112844</v>
          </cell>
          <cell r="G759">
            <v>92737</v>
          </cell>
          <cell r="H759">
            <v>96000</v>
          </cell>
          <cell r="I759" t="str">
            <v>ktk</v>
          </cell>
          <cell r="J759">
            <v>95500</v>
          </cell>
          <cell r="K759" t="str">
            <v>ktk</v>
          </cell>
          <cell r="L759">
            <v>95000</v>
          </cell>
          <cell r="M759" t="str">
            <v>ktk</v>
          </cell>
        </row>
        <row r="760">
          <cell r="A760" t="str">
            <v>LARUTANA</v>
          </cell>
          <cell r="B760" t="str">
            <v>Larutan ANAK klg</v>
          </cell>
          <cell r="C760">
            <v>24</v>
          </cell>
          <cell r="D760" t="str">
            <v>klg</v>
          </cell>
          <cell r="E760">
            <v>98000</v>
          </cell>
          <cell r="F760">
            <v>49000</v>
          </cell>
          <cell r="G760">
            <v>4083.3333333333335</v>
          </cell>
          <cell r="H760">
            <v>5000</v>
          </cell>
          <cell r="I760" t="str">
            <v>klg</v>
          </cell>
          <cell r="J760">
            <v>4800</v>
          </cell>
          <cell r="K760" t="str">
            <v>klg</v>
          </cell>
          <cell r="L760">
            <v>4500</v>
          </cell>
          <cell r="M760" t="str">
            <v>klg</v>
          </cell>
          <cell r="T760">
            <v>51500</v>
          </cell>
          <cell r="U760">
            <v>12</v>
          </cell>
          <cell r="V760" t="str">
            <v>lsn</v>
          </cell>
          <cell r="W760">
            <v>4200</v>
          </cell>
          <cell r="X760" t="str">
            <v>klg</v>
          </cell>
          <cell r="Y760">
            <v>4300</v>
          </cell>
          <cell r="Z760" t="str">
            <v>klg</v>
          </cell>
          <cell r="AA760">
            <v>101000</v>
          </cell>
          <cell r="AB760" t="str">
            <v>dos</v>
          </cell>
        </row>
        <row r="761">
          <cell r="A761" t="str">
            <v>LARUTANB</v>
          </cell>
          <cell r="B761" t="str">
            <v>Larutan BADAK  klg</v>
          </cell>
          <cell r="C761">
            <v>24</v>
          </cell>
          <cell r="D761" t="str">
            <v>klg</v>
          </cell>
          <cell r="E761">
            <v>125000</v>
          </cell>
          <cell r="F761">
            <v>62500</v>
          </cell>
          <cell r="G761">
            <v>5208.333333333333</v>
          </cell>
          <cell r="H761">
            <v>6000</v>
          </cell>
          <cell r="I761" t="str">
            <v>klg</v>
          </cell>
          <cell r="J761">
            <v>6000</v>
          </cell>
          <cell r="K761" t="str">
            <v>klg</v>
          </cell>
          <cell r="L761">
            <v>5700</v>
          </cell>
          <cell r="M761" t="str">
            <v>klg</v>
          </cell>
          <cell r="T761">
            <v>65000</v>
          </cell>
          <cell r="U761">
            <v>12</v>
          </cell>
          <cell r="V761" t="str">
            <v>lsn</v>
          </cell>
          <cell r="W761">
            <v>5400</v>
          </cell>
          <cell r="X761" t="str">
            <v>klg</v>
          </cell>
          <cell r="Y761">
            <v>5500</v>
          </cell>
          <cell r="Z761" t="str">
            <v>klg</v>
          </cell>
        </row>
        <row r="762">
          <cell r="A762" t="str">
            <v>LARUTAN500</v>
          </cell>
          <cell r="B762" t="str">
            <v>Larutan Kak 3 btl b 500 ml</v>
          </cell>
          <cell r="C762">
            <v>24</v>
          </cell>
          <cell r="D762" t="str">
            <v>btl</v>
          </cell>
          <cell r="E762">
            <v>143000</v>
          </cell>
          <cell r="F762">
            <v>71500</v>
          </cell>
          <cell r="G762">
            <v>5958.333333333333</v>
          </cell>
          <cell r="H762">
            <v>7500</v>
          </cell>
          <cell r="I762" t="str">
            <v>btl</v>
          </cell>
          <cell r="J762">
            <v>7000</v>
          </cell>
          <cell r="K762" t="str">
            <v>btl</v>
          </cell>
          <cell r="L762">
            <v>6500</v>
          </cell>
          <cell r="M762" t="str">
            <v>btl</v>
          </cell>
          <cell r="T762">
            <v>74000</v>
          </cell>
          <cell r="U762">
            <v>12</v>
          </cell>
          <cell r="V762" t="str">
            <v>lsn</v>
          </cell>
          <cell r="W762">
            <v>6100</v>
          </cell>
          <cell r="X762" t="str">
            <v>btl</v>
          </cell>
          <cell r="Y762">
            <v>6200</v>
          </cell>
          <cell r="Z762" t="str">
            <v>btl</v>
          </cell>
        </row>
        <row r="763">
          <cell r="A763" t="str">
            <v>LARUTAN200</v>
          </cell>
          <cell r="B763" t="str">
            <v>Larutan Kaki 3 btl 200 ML</v>
          </cell>
          <cell r="C763">
            <v>48</v>
          </cell>
          <cell r="D763" t="str">
            <v>btl</v>
          </cell>
          <cell r="E763">
            <v>145000</v>
          </cell>
          <cell r="F763">
            <v>36250</v>
          </cell>
          <cell r="G763">
            <v>3020.8333333333335</v>
          </cell>
          <cell r="H763">
            <v>4000</v>
          </cell>
          <cell r="I763" t="str">
            <v>btl</v>
          </cell>
          <cell r="J763">
            <v>3700</v>
          </cell>
          <cell r="K763" t="str">
            <v>btl</v>
          </cell>
          <cell r="L763">
            <v>3500</v>
          </cell>
          <cell r="M763" t="str">
            <v>btl</v>
          </cell>
          <cell r="T763">
            <v>39000</v>
          </cell>
          <cell r="U763">
            <v>12</v>
          </cell>
          <cell r="V763" t="str">
            <v>lsn</v>
          </cell>
          <cell r="Y763">
            <v>3250</v>
          </cell>
          <cell r="Z763" t="str">
            <v>btl</v>
          </cell>
        </row>
        <row r="764">
          <cell r="A764" t="str">
            <v>LARUTAN3</v>
          </cell>
          <cell r="B764" t="str">
            <v>Larutan Kaki 3 klg</v>
          </cell>
          <cell r="C764">
            <v>24</v>
          </cell>
          <cell r="D764" t="str">
            <v>klg</v>
          </cell>
          <cell r="E764">
            <v>108000</v>
          </cell>
          <cell r="F764">
            <v>54000</v>
          </cell>
          <cell r="G764">
            <v>4500</v>
          </cell>
          <cell r="Q764">
            <v>0</v>
          </cell>
        </row>
        <row r="765">
          <cell r="A765" t="str">
            <v>LASEGARKLG</v>
          </cell>
          <cell r="B765" t="str">
            <v>Lasegar klg</v>
          </cell>
          <cell r="C765">
            <v>24</v>
          </cell>
          <cell r="D765" t="str">
            <v>klg</v>
          </cell>
          <cell r="E765">
            <v>86000</v>
          </cell>
          <cell r="F765">
            <v>43000</v>
          </cell>
          <cell r="G765">
            <v>3583.3333333333335</v>
          </cell>
        </row>
        <row r="766">
          <cell r="A766" t="str">
            <v>LIFE170</v>
          </cell>
          <cell r="B766" t="str">
            <v xml:space="preserve">Lifeboy 170 ml Sampo </v>
          </cell>
          <cell r="C766">
            <v>36</v>
          </cell>
          <cell r="D766" t="str">
            <v>btl</v>
          </cell>
          <cell r="E766">
            <v>528480</v>
          </cell>
          <cell r="F766">
            <v>176160</v>
          </cell>
          <cell r="G766">
            <v>14680</v>
          </cell>
          <cell r="H766">
            <v>16500</v>
          </cell>
          <cell r="I766" t="str">
            <v>btl</v>
          </cell>
          <cell r="J766">
            <v>16000</v>
          </cell>
          <cell r="K766" t="str">
            <v>btl</v>
          </cell>
          <cell r="L766">
            <v>15500</v>
          </cell>
          <cell r="M766" t="str">
            <v>btl</v>
          </cell>
          <cell r="T766">
            <v>179000</v>
          </cell>
          <cell r="U766">
            <v>12</v>
          </cell>
          <cell r="V766" t="str">
            <v>lsn</v>
          </cell>
          <cell r="Y766">
            <v>15000</v>
          </cell>
          <cell r="Z766" t="str">
            <v>pc</v>
          </cell>
        </row>
        <row r="767">
          <cell r="A767" t="str">
            <v>LIFE340</v>
          </cell>
          <cell r="B767" t="str">
            <v xml:space="preserve">Lifeboy 340 ml Sampo </v>
          </cell>
          <cell r="C767">
            <v>18</v>
          </cell>
          <cell r="D767" t="str">
            <v>btl</v>
          </cell>
          <cell r="E767">
            <v>475200</v>
          </cell>
          <cell r="F767">
            <v>316800</v>
          </cell>
          <cell r="G767">
            <v>26400</v>
          </cell>
          <cell r="H767">
            <v>29000</v>
          </cell>
          <cell r="I767" t="str">
            <v>btl</v>
          </cell>
          <cell r="J767">
            <v>28500</v>
          </cell>
          <cell r="K767" t="str">
            <v>btl</v>
          </cell>
          <cell r="L767">
            <v>28000</v>
          </cell>
          <cell r="M767" t="str">
            <v>btl</v>
          </cell>
        </row>
        <row r="768">
          <cell r="A768" t="str">
            <v>LIFE70</v>
          </cell>
          <cell r="B768" t="str">
            <v>Lifeboy 70 ml Sampo</v>
          </cell>
          <cell r="C768">
            <v>6</v>
          </cell>
          <cell r="D768" t="str">
            <v>btl</v>
          </cell>
          <cell r="E768">
            <v>54000</v>
          </cell>
          <cell r="G768">
            <v>9000</v>
          </cell>
          <cell r="H768">
            <v>9500</v>
          </cell>
          <cell r="I768" t="str">
            <v>btl</v>
          </cell>
        </row>
        <row r="769">
          <cell r="A769" t="str">
            <v>LIFE700</v>
          </cell>
          <cell r="B769" t="str">
            <v>Lifeboy 700 ml Sampo</v>
          </cell>
          <cell r="C769">
            <v>3</v>
          </cell>
          <cell r="D769" t="str">
            <v>btl</v>
          </cell>
          <cell r="E769">
            <v>93449.4</v>
          </cell>
          <cell r="G769">
            <v>31149.8</v>
          </cell>
        </row>
        <row r="770">
          <cell r="A770" t="str">
            <v>LIFECOLOUR</v>
          </cell>
          <cell r="B770" t="str">
            <v>Lifeboy Hand Soap Colour reff</v>
          </cell>
          <cell r="C770">
            <v>6</v>
          </cell>
          <cell r="D770" t="str">
            <v>pcs</v>
          </cell>
          <cell r="E770">
            <v>82196.399999999994</v>
          </cell>
          <cell r="F770">
            <v>164392.79999999999</v>
          </cell>
          <cell r="G770">
            <v>13699.4</v>
          </cell>
          <cell r="H770">
            <v>15000</v>
          </cell>
          <cell r="I770" t="str">
            <v>pc</v>
          </cell>
          <cell r="J770">
            <v>14500</v>
          </cell>
          <cell r="K770" t="str">
            <v>pc</v>
          </cell>
          <cell r="L770">
            <v>14200</v>
          </cell>
          <cell r="M770" t="str">
            <v>pc</v>
          </cell>
          <cell r="T770">
            <v>168000</v>
          </cell>
          <cell r="U770">
            <v>12</v>
          </cell>
          <cell r="V770" t="str">
            <v>lsn</v>
          </cell>
          <cell r="W770">
            <v>13900</v>
          </cell>
          <cell r="X770" t="str">
            <v>pc</v>
          </cell>
          <cell r="Y770">
            <v>14000</v>
          </cell>
          <cell r="Z770" t="str">
            <v>pc</v>
          </cell>
        </row>
        <row r="771">
          <cell r="A771" t="str">
            <v>LIFE500</v>
          </cell>
          <cell r="B771" t="str">
            <v xml:space="preserve">Lifeboy Pump Sabun Cair 500 mil </v>
          </cell>
          <cell r="C771">
            <v>3</v>
          </cell>
          <cell r="D771" t="str">
            <v>btl</v>
          </cell>
          <cell r="E771">
            <v>83400.899999999994</v>
          </cell>
          <cell r="F771">
            <v>333603.59999999998</v>
          </cell>
          <cell r="G771">
            <v>27800.3</v>
          </cell>
          <cell r="H771">
            <v>29500</v>
          </cell>
          <cell r="I771" t="str">
            <v>btl</v>
          </cell>
          <cell r="J771">
            <v>28500</v>
          </cell>
          <cell r="K771" t="str">
            <v>btl</v>
          </cell>
          <cell r="L771">
            <v>28300</v>
          </cell>
          <cell r="M771" t="str">
            <v>btl</v>
          </cell>
          <cell r="T771">
            <v>338000</v>
          </cell>
          <cell r="U771">
            <v>12</v>
          </cell>
          <cell r="V771" t="str">
            <v>lsn</v>
          </cell>
          <cell r="W771">
            <v>28100</v>
          </cell>
          <cell r="X771" t="str">
            <v>btl</v>
          </cell>
          <cell r="Y771">
            <v>28166.666666666668</v>
          </cell>
          <cell r="Z771" t="str">
            <v>btl</v>
          </cell>
        </row>
        <row r="772">
          <cell r="A772" t="str">
            <v>LIFER</v>
          </cell>
          <cell r="B772" t="str">
            <v>Lifeboy Rtg Sampo 10  ml</v>
          </cell>
          <cell r="C772">
            <v>12</v>
          </cell>
          <cell r="D772" t="str">
            <v>rtg</v>
          </cell>
          <cell r="E772">
            <v>6000</v>
          </cell>
          <cell r="F772">
            <v>72000</v>
          </cell>
          <cell r="G772">
            <v>500</v>
          </cell>
          <cell r="N772">
            <v>7000</v>
          </cell>
          <cell r="O772">
            <v>12</v>
          </cell>
          <cell r="P772" t="str">
            <v>rtg</v>
          </cell>
        </row>
        <row r="773">
          <cell r="A773" t="str">
            <v>LIFE75</v>
          </cell>
          <cell r="B773" t="str">
            <v>Lifeboy Sabun Batang Kecil  75 GR</v>
          </cell>
          <cell r="C773">
            <v>24</v>
          </cell>
          <cell r="D773" t="str">
            <v>pcs</v>
          </cell>
          <cell r="E773">
            <v>64000</v>
          </cell>
          <cell r="F773">
            <v>32000</v>
          </cell>
          <cell r="G773">
            <v>2666.6666666666665</v>
          </cell>
          <cell r="H773">
            <v>3500</v>
          </cell>
          <cell r="I773" t="str">
            <v>pc</v>
          </cell>
          <cell r="J773">
            <v>3500</v>
          </cell>
          <cell r="K773" t="str">
            <v>pc</v>
          </cell>
          <cell r="L773">
            <v>2900</v>
          </cell>
          <cell r="M773" t="str">
            <v>pc</v>
          </cell>
          <cell r="T773">
            <v>34000</v>
          </cell>
          <cell r="U773">
            <v>12</v>
          </cell>
          <cell r="V773" t="str">
            <v>lsn</v>
          </cell>
          <cell r="Y773">
            <v>2833.3333333333335</v>
          </cell>
          <cell r="Z773" t="str">
            <v>pc</v>
          </cell>
        </row>
        <row r="774">
          <cell r="A774" t="str">
            <v>LIFE60</v>
          </cell>
          <cell r="B774" t="str">
            <v>Lifeboy Sabun Batang Kecil  60 GR</v>
          </cell>
          <cell r="C774">
            <v>144</v>
          </cell>
          <cell r="D774" t="str">
            <v>pcs</v>
          </cell>
          <cell r="E774">
            <v>216000</v>
          </cell>
          <cell r="F774">
            <v>18000</v>
          </cell>
          <cell r="G774">
            <v>1500</v>
          </cell>
          <cell r="H774">
            <v>2500</v>
          </cell>
          <cell r="I774" t="str">
            <v>pc</v>
          </cell>
          <cell r="J774">
            <v>2500</v>
          </cell>
          <cell r="K774" t="str">
            <v>pc</v>
          </cell>
          <cell r="L774">
            <v>1900</v>
          </cell>
          <cell r="M774" t="str">
            <v>pc</v>
          </cell>
          <cell r="T774">
            <v>20000</v>
          </cell>
          <cell r="U774">
            <v>12</v>
          </cell>
          <cell r="V774" t="str">
            <v>lsn</v>
          </cell>
          <cell r="W774">
            <v>1600</v>
          </cell>
          <cell r="X774" t="str">
            <v>pc</v>
          </cell>
          <cell r="Y774">
            <v>1666.6666666666667</v>
          </cell>
          <cell r="Z774" t="str">
            <v>pc</v>
          </cell>
        </row>
        <row r="775">
          <cell r="A775" t="str">
            <v>LIFE100</v>
          </cell>
          <cell r="B775" t="str">
            <v>Lifeboy Sabun Cair  100 ml Btl</v>
          </cell>
          <cell r="C775">
            <v>36</v>
          </cell>
          <cell r="D775" t="str">
            <v>pcs</v>
          </cell>
          <cell r="E775">
            <v>297000</v>
          </cell>
          <cell r="F775">
            <v>99000</v>
          </cell>
          <cell r="G775">
            <v>8250</v>
          </cell>
          <cell r="H775">
            <v>11000</v>
          </cell>
          <cell r="I775" t="str">
            <v>pc</v>
          </cell>
          <cell r="J775">
            <v>11000</v>
          </cell>
          <cell r="K775" t="str">
            <v>pc</v>
          </cell>
          <cell r="L775">
            <v>10500</v>
          </cell>
          <cell r="M775" t="str">
            <v>pc</v>
          </cell>
        </row>
        <row r="776">
          <cell r="A776" t="str">
            <v>LIFE250</v>
          </cell>
          <cell r="B776" t="str">
            <v>Lifeboy Sabun Cair  250 ml</v>
          </cell>
          <cell r="C776">
            <v>24</v>
          </cell>
          <cell r="D776" t="str">
            <v>pcs</v>
          </cell>
          <cell r="E776">
            <v>295200</v>
          </cell>
          <cell r="F776">
            <v>147600</v>
          </cell>
          <cell r="G776">
            <v>12300</v>
          </cell>
          <cell r="H776">
            <v>14500</v>
          </cell>
          <cell r="I776" t="str">
            <v>pc</v>
          </cell>
          <cell r="J776">
            <v>14000</v>
          </cell>
          <cell r="K776" t="str">
            <v>pc</v>
          </cell>
          <cell r="L776">
            <v>13500</v>
          </cell>
          <cell r="M776" t="str">
            <v>pc</v>
          </cell>
        </row>
        <row r="777">
          <cell r="A777" t="str">
            <v>LIFE300</v>
          </cell>
          <cell r="B777" t="str">
            <v>Lifeboy Sabun Cair 300 ml btl</v>
          </cell>
          <cell r="C777">
            <v>12</v>
          </cell>
          <cell r="D777" t="str">
            <v>pcs</v>
          </cell>
          <cell r="E777">
            <v>207000</v>
          </cell>
          <cell r="F777">
            <v>207000</v>
          </cell>
          <cell r="G777">
            <v>17250</v>
          </cell>
          <cell r="H777">
            <v>18500</v>
          </cell>
          <cell r="I777" t="str">
            <v>pc</v>
          </cell>
          <cell r="J777">
            <v>18000</v>
          </cell>
          <cell r="K777" t="str">
            <v>pc</v>
          </cell>
          <cell r="L777">
            <v>17800</v>
          </cell>
          <cell r="M777" t="str">
            <v>pc</v>
          </cell>
          <cell r="T777">
            <v>211000</v>
          </cell>
          <cell r="U777">
            <v>12</v>
          </cell>
          <cell r="V777" t="str">
            <v>lsn</v>
          </cell>
          <cell r="W777">
            <v>17500</v>
          </cell>
          <cell r="X777" t="str">
            <v>pc</v>
          </cell>
          <cell r="Y777">
            <v>17583.333333333332</v>
          </cell>
          <cell r="Z777" t="str">
            <v>pc</v>
          </cell>
        </row>
        <row r="778">
          <cell r="A778" t="str">
            <v>LIFE450</v>
          </cell>
          <cell r="B778" t="str">
            <v>Lifeboy Sabun Cair 450 ml reff</v>
          </cell>
          <cell r="C778">
            <v>24</v>
          </cell>
          <cell r="D778" t="str">
            <v>pcs</v>
          </cell>
          <cell r="E778">
            <v>520801</v>
          </cell>
          <cell r="F778">
            <v>260400.5</v>
          </cell>
          <cell r="G778">
            <v>21700.041666666668</v>
          </cell>
          <cell r="H778">
            <v>24500</v>
          </cell>
          <cell r="I778" t="str">
            <v>bks</v>
          </cell>
          <cell r="J778">
            <v>24000</v>
          </cell>
          <cell r="K778" t="str">
            <v>bks</v>
          </cell>
          <cell r="L778">
            <v>23500</v>
          </cell>
          <cell r="M778" t="str">
            <v>bks</v>
          </cell>
        </row>
        <row r="779">
          <cell r="A779" t="str">
            <v>LIFE60</v>
          </cell>
          <cell r="B779" t="str">
            <v>Lifeboy Sabun Cair 60 ml reff</v>
          </cell>
          <cell r="C779">
            <v>12</v>
          </cell>
          <cell r="D779" t="str">
            <v>pcs</v>
          </cell>
          <cell r="E779">
            <v>26400</v>
          </cell>
          <cell r="G779">
            <v>2200</v>
          </cell>
        </row>
        <row r="780">
          <cell r="A780" t="str">
            <v>LIFE250</v>
          </cell>
          <cell r="B780" t="str">
            <v>Lifeboy Sabun Cair Clinic Anti Bakteri 250</v>
          </cell>
          <cell r="C780">
            <v>12</v>
          </cell>
          <cell r="D780" t="str">
            <v>pcs</v>
          </cell>
          <cell r="E780">
            <v>158400</v>
          </cell>
          <cell r="F780">
            <v>158400</v>
          </cell>
          <cell r="G780">
            <v>13200</v>
          </cell>
        </row>
        <row r="781">
          <cell r="A781" t="str">
            <v>LIFEBC250</v>
          </cell>
          <cell r="B781" t="str">
            <v>Lifeboy Sabun Reff Clinic Anti Bakteri 250</v>
          </cell>
          <cell r="C781">
            <v>6</v>
          </cell>
          <cell r="D781" t="str">
            <v>pcs</v>
          </cell>
          <cell r="E781">
            <v>71999.399999999994</v>
          </cell>
          <cell r="F781">
            <v>143998.79999999999</v>
          </cell>
          <cell r="G781">
            <v>11999.9</v>
          </cell>
        </row>
        <row r="782">
          <cell r="A782" t="str">
            <v>LILINB</v>
          </cell>
          <cell r="B782" t="str">
            <v>Lilin Dua Sahabat Super Jumbo</v>
          </cell>
          <cell r="C782">
            <v>8</v>
          </cell>
          <cell r="D782" t="str">
            <v>pak</v>
          </cell>
          <cell r="E782">
            <v>7350</v>
          </cell>
          <cell r="F782">
            <v>88200</v>
          </cell>
          <cell r="G782">
            <v>918.75</v>
          </cell>
          <cell r="H782">
            <v>1500</v>
          </cell>
          <cell r="I782" t="str">
            <v>pc</v>
          </cell>
          <cell r="J782">
            <v>1500</v>
          </cell>
          <cell r="K782" t="str">
            <v>pc</v>
          </cell>
          <cell r="L782">
            <v>1500</v>
          </cell>
          <cell r="M782" t="str">
            <v>pc</v>
          </cell>
          <cell r="Q782">
            <v>8500</v>
          </cell>
          <cell r="S782" t="str">
            <v>pak</v>
          </cell>
          <cell r="T782">
            <v>91500</v>
          </cell>
          <cell r="U782">
            <v>12</v>
          </cell>
          <cell r="V782" t="str">
            <v>lsn</v>
          </cell>
          <cell r="W782">
            <v>7600</v>
          </cell>
          <cell r="X782" t="str">
            <v>pak</v>
          </cell>
          <cell r="Y782">
            <v>7625</v>
          </cell>
          <cell r="Z782" t="str">
            <v>pak</v>
          </cell>
        </row>
        <row r="783">
          <cell r="A783" t="str">
            <v>MATAHARI</v>
          </cell>
          <cell r="B783" t="str">
            <v>Lilin Matahari K</v>
          </cell>
          <cell r="C783">
            <v>8</v>
          </cell>
          <cell r="D783" t="str">
            <v>pak</v>
          </cell>
          <cell r="E783">
            <v>2900</v>
          </cell>
          <cell r="F783">
            <v>34800</v>
          </cell>
          <cell r="G783">
            <v>362.5</v>
          </cell>
        </row>
        <row r="784">
          <cell r="A784" t="str">
            <v>POPULARK</v>
          </cell>
          <cell r="B784" t="str">
            <v>Lilin Popular K</v>
          </cell>
          <cell r="C784">
            <v>8</v>
          </cell>
          <cell r="D784" t="str">
            <v>pak</v>
          </cell>
          <cell r="E784">
            <v>2620</v>
          </cell>
          <cell r="F784">
            <v>31440</v>
          </cell>
          <cell r="G784">
            <v>327.5</v>
          </cell>
          <cell r="Q784">
            <v>3500</v>
          </cell>
          <cell r="S784" t="str">
            <v>pak</v>
          </cell>
          <cell r="T784">
            <v>34500</v>
          </cell>
          <cell r="U784">
            <v>12</v>
          </cell>
          <cell r="V784" t="str">
            <v>lsn</v>
          </cell>
          <cell r="W784">
            <v>2800</v>
          </cell>
          <cell r="X784" t="str">
            <v>pc</v>
          </cell>
          <cell r="Y784">
            <v>2875</v>
          </cell>
          <cell r="Z784" t="str">
            <v>pc</v>
          </cell>
          <cell r="AA784">
            <v>134000</v>
          </cell>
          <cell r="AB784" t="str">
            <v>dos</v>
          </cell>
        </row>
        <row r="785">
          <cell r="A785" t="str">
            <v>LULURBALI</v>
          </cell>
          <cell r="B785" t="str">
            <v xml:space="preserve">Lulur Bali </v>
          </cell>
          <cell r="C785">
            <v>6</v>
          </cell>
          <cell r="D785" t="str">
            <v>pcs</v>
          </cell>
          <cell r="E785">
            <v>66000</v>
          </cell>
          <cell r="F785">
            <v>132000</v>
          </cell>
          <cell r="G785">
            <v>11000</v>
          </cell>
          <cell r="H785">
            <v>12000</v>
          </cell>
          <cell r="I785" t="str">
            <v>pc</v>
          </cell>
          <cell r="J785">
            <v>12000</v>
          </cell>
          <cell r="K785" t="str">
            <v>pc</v>
          </cell>
          <cell r="L785">
            <v>12000</v>
          </cell>
          <cell r="M785" t="str">
            <v>pc</v>
          </cell>
          <cell r="T785">
            <v>135000</v>
          </cell>
          <cell r="U785">
            <v>12</v>
          </cell>
          <cell r="V785" t="str">
            <v>lsn</v>
          </cell>
          <cell r="W785">
            <v>11250</v>
          </cell>
          <cell r="X785" t="str">
            <v>pc</v>
          </cell>
          <cell r="Y785">
            <v>11500</v>
          </cell>
          <cell r="Z785" t="str">
            <v>pc</v>
          </cell>
        </row>
        <row r="786">
          <cell r="A786" t="str">
            <v>LUX80</v>
          </cell>
          <cell r="B786" t="str">
            <v>Lux btg 80 gr</v>
          </cell>
          <cell r="C786">
            <v>144</v>
          </cell>
          <cell r="D786" t="str">
            <v>btg</v>
          </cell>
          <cell r="E786">
            <v>403200</v>
          </cell>
          <cell r="F786">
            <v>33600</v>
          </cell>
          <cell r="G786">
            <v>2800</v>
          </cell>
          <cell r="H786">
            <v>3500</v>
          </cell>
          <cell r="I786" t="str">
            <v>pc</v>
          </cell>
          <cell r="J786">
            <v>3500</v>
          </cell>
          <cell r="K786" t="str">
            <v>pc</v>
          </cell>
          <cell r="L786">
            <v>3200</v>
          </cell>
          <cell r="M786" t="str">
            <v>pc</v>
          </cell>
          <cell r="T786">
            <v>36000</v>
          </cell>
          <cell r="U786">
            <v>12</v>
          </cell>
          <cell r="V786" t="str">
            <v>lsn</v>
          </cell>
          <cell r="W786">
            <v>2900</v>
          </cell>
          <cell r="X786" t="str">
            <v>pc</v>
          </cell>
          <cell r="Y786">
            <v>3000</v>
          </cell>
          <cell r="Z786" t="str">
            <v>pc</v>
          </cell>
        </row>
        <row r="787">
          <cell r="A787" t="str">
            <v>LUX60</v>
          </cell>
          <cell r="B787" t="str">
            <v>Lux btg 60 gr</v>
          </cell>
          <cell r="C787">
            <v>144</v>
          </cell>
          <cell r="D787" t="str">
            <v>btg</v>
          </cell>
          <cell r="E787">
            <v>259200</v>
          </cell>
          <cell r="F787">
            <v>21600</v>
          </cell>
          <cell r="G787">
            <v>1800</v>
          </cell>
          <cell r="H787">
            <v>2500</v>
          </cell>
          <cell r="I787" t="str">
            <v>pc</v>
          </cell>
          <cell r="J787">
            <v>2500</v>
          </cell>
          <cell r="K787" t="str">
            <v>pc</v>
          </cell>
          <cell r="L787">
            <v>2200</v>
          </cell>
          <cell r="M787" t="str">
            <v>pc</v>
          </cell>
          <cell r="T787">
            <v>24000</v>
          </cell>
          <cell r="U787">
            <v>12</v>
          </cell>
          <cell r="V787" t="str">
            <v>lsn</v>
          </cell>
          <cell r="W787">
            <v>1900</v>
          </cell>
          <cell r="X787" t="str">
            <v>pc</v>
          </cell>
          <cell r="Y787">
            <v>2000</v>
          </cell>
          <cell r="Z787" t="str">
            <v>pc</v>
          </cell>
        </row>
        <row r="788">
          <cell r="A788" t="str">
            <v>LUX250R</v>
          </cell>
          <cell r="B788" t="str">
            <v>Lux Cair 250 ml reff</v>
          </cell>
          <cell r="C788">
            <v>24</v>
          </cell>
          <cell r="D788" t="str">
            <v>pcs</v>
          </cell>
          <cell r="E788">
            <v>300000</v>
          </cell>
          <cell r="F788">
            <v>150000</v>
          </cell>
          <cell r="G788">
            <v>12500</v>
          </cell>
          <cell r="H788">
            <v>14000</v>
          </cell>
          <cell r="I788" t="str">
            <v>pc</v>
          </cell>
          <cell r="J788">
            <v>13500</v>
          </cell>
          <cell r="K788" t="str">
            <v>pc</v>
          </cell>
          <cell r="L788">
            <v>13500</v>
          </cell>
          <cell r="M788" t="str">
            <v>pc</v>
          </cell>
        </row>
        <row r="789">
          <cell r="A789" t="str">
            <v>LUX250B</v>
          </cell>
          <cell r="B789" t="str">
            <v>Lux Cair 250 ml BOTOL</v>
          </cell>
          <cell r="C789">
            <v>24</v>
          </cell>
          <cell r="D789" t="str">
            <v>pcs</v>
          </cell>
          <cell r="E789">
            <v>388801</v>
          </cell>
          <cell r="F789">
            <v>194400.5</v>
          </cell>
          <cell r="G789">
            <v>16200.041666666666</v>
          </cell>
          <cell r="H789">
            <v>18000</v>
          </cell>
          <cell r="I789" t="str">
            <v>btl</v>
          </cell>
          <cell r="J789">
            <v>17500</v>
          </cell>
          <cell r="K789" t="str">
            <v>btl</v>
          </cell>
        </row>
        <row r="790">
          <cell r="A790" t="str">
            <v>LUX450</v>
          </cell>
          <cell r="B790" t="str">
            <v>Lux Cair 450 ml reff Soft</v>
          </cell>
          <cell r="C790">
            <v>24</v>
          </cell>
          <cell r="D790" t="str">
            <v>pcs</v>
          </cell>
          <cell r="E790">
            <v>516000</v>
          </cell>
          <cell r="F790">
            <v>258000</v>
          </cell>
          <cell r="G790">
            <v>21500</v>
          </cell>
          <cell r="H790">
            <v>24500</v>
          </cell>
          <cell r="I790" t="str">
            <v>bks</v>
          </cell>
          <cell r="J790">
            <v>24000</v>
          </cell>
          <cell r="K790" t="str">
            <v>bks</v>
          </cell>
          <cell r="L790">
            <v>23500</v>
          </cell>
          <cell r="M790" t="str">
            <v>bks</v>
          </cell>
        </row>
        <row r="791">
          <cell r="A791" t="str">
            <v>FITTIXL18</v>
          </cell>
          <cell r="B791" t="str">
            <v>Pampers Fitti M ISI 18</v>
          </cell>
          <cell r="C791">
            <v>6</v>
          </cell>
          <cell r="D791" t="str">
            <v>pak</v>
          </cell>
          <cell r="E791">
            <v>244500</v>
          </cell>
          <cell r="G791">
            <v>40750</v>
          </cell>
          <cell r="Q791">
            <v>43500</v>
          </cell>
          <cell r="S791" t="str">
            <v>pak</v>
          </cell>
        </row>
        <row r="792">
          <cell r="A792" t="str">
            <v>FITTIM18</v>
          </cell>
          <cell r="B792" t="str">
            <v>Pampers Fitti M ISI 18</v>
          </cell>
          <cell r="C792">
            <v>6</v>
          </cell>
          <cell r="D792" t="str">
            <v>pak</v>
          </cell>
          <cell r="E792">
            <v>175000</v>
          </cell>
          <cell r="G792">
            <v>29166.666666666668</v>
          </cell>
          <cell r="Q792">
            <v>33000</v>
          </cell>
          <cell r="S792" t="str">
            <v>pak</v>
          </cell>
        </row>
        <row r="793">
          <cell r="A793" t="str">
            <v>FITTIL18</v>
          </cell>
          <cell r="B793" t="str">
            <v>Pampers Fitti L ISI 18</v>
          </cell>
          <cell r="C793">
            <v>6</v>
          </cell>
          <cell r="D793" t="str">
            <v>pak</v>
          </cell>
          <cell r="E793">
            <v>196000</v>
          </cell>
          <cell r="G793">
            <v>32666.666666666668</v>
          </cell>
          <cell r="Q793">
            <v>36000</v>
          </cell>
          <cell r="S793" t="str">
            <v>pak</v>
          </cell>
        </row>
        <row r="794">
          <cell r="A794" t="str">
            <v>FITTIL6</v>
          </cell>
          <cell r="B794" t="str">
            <v>Pampers Fitti L Renteng isi 6</v>
          </cell>
          <cell r="C794">
            <v>6</v>
          </cell>
          <cell r="D794" t="str">
            <v>rtg</v>
          </cell>
          <cell r="E794">
            <v>9000</v>
          </cell>
          <cell r="F794">
            <v>72000</v>
          </cell>
          <cell r="G794">
            <v>1500</v>
          </cell>
          <cell r="H794">
            <v>2000</v>
          </cell>
          <cell r="I794" t="str">
            <v>pc</v>
          </cell>
          <cell r="J794">
            <v>2000</v>
          </cell>
          <cell r="K794" t="str">
            <v>pc</v>
          </cell>
          <cell r="N794">
            <v>11000</v>
          </cell>
          <cell r="P794" t="str">
            <v>rtg</v>
          </cell>
        </row>
        <row r="795">
          <cell r="A795" t="str">
            <v>FITTIM6</v>
          </cell>
          <cell r="B795" t="str">
            <v>Pampers Fitti M Renteng isi 6</v>
          </cell>
          <cell r="C795">
            <v>6</v>
          </cell>
          <cell r="D795" t="str">
            <v>rtg</v>
          </cell>
          <cell r="E795">
            <v>9000</v>
          </cell>
          <cell r="F795">
            <v>72000</v>
          </cell>
          <cell r="G795">
            <v>1500</v>
          </cell>
          <cell r="H795">
            <v>2000</v>
          </cell>
          <cell r="I795" t="str">
            <v>pc</v>
          </cell>
          <cell r="J795">
            <v>2000</v>
          </cell>
          <cell r="K795" t="str">
            <v>pc</v>
          </cell>
          <cell r="N795">
            <v>11000</v>
          </cell>
          <cell r="P795" t="str">
            <v>rtg</v>
          </cell>
        </row>
        <row r="796">
          <cell r="A796" t="str">
            <v>MERRIESM22</v>
          </cell>
          <cell r="B796" t="str">
            <v>Pampers Merries M 22</v>
          </cell>
          <cell r="C796">
            <v>6</v>
          </cell>
          <cell r="D796" t="str">
            <v>pak</v>
          </cell>
          <cell r="E796">
            <v>229200</v>
          </cell>
          <cell r="G796">
            <v>38200</v>
          </cell>
          <cell r="Q796">
            <v>41000</v>
          </cell>
          <cell r="S796" t="str">
            <v>pak</v>
          </cell>
        </row>
        <row r="797">
          <cell r="A797" t="str">
            <v>POKOL20</v>
          </cell>
          <cell r="B797" t="str">
            <v>Mamy Poko L 20 pak</v>
          </cell>
          <cell r="C797">
            <v>20</v>
          </cell>
          <cell r="D797" t="str">
            <v>pak</v>
          </cell>
          <cell r="E797">
            <v>39333.333333333336</v>
          </cell>
          <cell r="F797">
            <v>236000</v>
          </cell>
          <cell r="G797">
            <v>1966.6666666666667</v>
          </cell>
          <cell r="Q797">
            <v>43000</v>
          </cell>
          <cell r="S797" t="str">
            <v>pak</v>
          </cell>
        </row>
        <row r="798">
          <cell r="A798" t="str">
            <v>POKOL30</v>
          </cell>
          <cell r="B798" t="str">
            <v>Mamy Poko L 30 pak</v>
          </cell>
          <cell r="C798">
            <v>30</v>
          </cell>
          <cell r="D798" t="str">
            <v>pak</v>
          </cell>
          <cell r="E798">
            <v>56125</v>
          </cell>
          <cell r="F798">
            <v>224500</v>
          </cell>
          <cell r="G798">
            <v>1870.8333333333333</v>
          </cell>
          <cell r="Q798">
            <v>59000</v>
          </cell>
          <cell r="S798" t="str">
            <v>pak</v>
          </cell>
          <cell r="AA798">
            <v>218500</v>
          </cell>
          <cell r="AB798" t="str">
            <v>dos</v>
          </cell>
        </row>
        <row r="799">
          <cell r="A799" t="str">
            <v>POKOL36</v>
          </cell>
          <cell r="B799" t="str">
            <v>Mamy Poko L 36 pak</v>
          </cell>
          <cell r="C799">
            <v>36</v>
          </cell>
          <cell r="D799" t="str">
            <v>pak</v>
          </cell>
          <cell r="E799">
            <v>63000</v>
          </cell>
          <cell r="G799">
            <v>1750</v>
          </cell>
        </row>
        <row r="800">
          <cell r="A800" t="str">
            <v>POKOL8</v>
          </cell>
          <cell r="B800" t="str">
            <v>Mamy Poko L 8 pak</v>
          </cell>
          <cell r="C800">
            <v>8</v>
          </cell>
          <cell r="D800" t="str">
            <v>pak</v>
          </cell>
          <cell r="E800">
            <v>15000</v>
          </cell>
          <cell r="F800">
            <v>180000</v>
          </cell>
          <cell r="G800">
            <v>1875</v>
          </cell>
          <cell r="Q800">
            <v>17500</v>
          </cell>
          <cell r="S800" t="str">
            <v>pak</v>
          </cell>
          <cell r="AA800">
            <v>194000</v>
          </cell>
          <cell r="AB800" t="str">
            <v>dos</v>
          </cell>
        </row>
        <row r="801">
          <cell r="A801" t="str">
            <v>POKOL10</v>
          </cell>
          <cell r="B801" t="str">
            <v>Mamy Poko L rtg isi 10</v>
          </cell>
          <cell r="C801">
            <v>6</v>
          </cell>
          <cell r="D801" t="str">
            <v>rtg</v>
          </cell>
          <cell r="E801">
            <v>10750</v>
          </cell>
          <cell r="F801">
            <v>215000</v>
          </cell>
          <cell r="G801">
            <v>1791.6666666666667</v>
          </cell>
          <cell r="N801">
            <v>22000</v>
          </cell>
          <cell r="P801" t="str">
            <v>rtg</v>
          </cell>
        </row>
        <row r="802">
          <cell r="A802" t="str">
            <v>HAPPYL6</v>
          </cell>
          <cell r="B802" t="str">
            <v>HAPPY BABY L rtg Isi 6</v>
          </cell>
          <cell r="C802">
            <v>6</v>
          </cell>
          <cell r="D802" t="str">
            <v>rtg</v>
          </cell>
          <cell r="E802">
            <v>9187.5</v>
          </cell>
          <cell r="F802">
            <v>73500</v>
          </cell>
          <cell r="G802">
            <v>1531.25</v>
          </cell>
          <cell r="H802">
            <v>2000</v>
          </cell>
          <cell r="I802" t="str">
            <v>pc</v>
          </cell>
          <cell r="J802">
            <v>2000</v>
          </cell>
          <cell r="K802" t="str">
            <v>pc</v>
          </cell>
          <cell r="L802">
            <v>2000</v>
          </cell>
          <cell r="M802" t="str">
            <v>pc</v>
          </cell>
          <cell r="N802">
            <v>11000</v>
          </cell>
          <cell r="O802">
            <v>6</v>
          </cell>
          <cell r="P802" t="str">
            <v>rtg</v>
          </cell>
        </row>
        <row r="803">
          <cell r="A803" t="str">
            <v>HAPPYL8</v>
          </cell>
          <cell r="B803" t="str">
            <v>HAPPY BABY L Isi 8</v>
          </cell>
          <cell r="C803">
            <v>8</v>
          </cell>
          <cell r="D803" t="str">
            <v>pc</v>
          </cell>
          <cell r="E803">
            <v>180000</v>
          </cell>
          <cell r="G803">
            <v>22500</v>
          </cell>
          <cell r="Q803">
            <v>17500</v>
          </cell>
          <cell r="S803" t="str">
            <v>pak</v>
          </cell>
        </row>
        <row r="804">
          <cell r="A804" t="str">
            <v>HAPPYL20</v>
          </cell>
          <cell r="B804" t="str">
            <v>HAPPY BABY L Isi 20 + 4</v>
          </cell>
          <cell r="C804">
            <v>20</v>
          </cell>
          <cell r="D804" t="str">
            <v>pc</v>
          </cell>
          <cell r="E804">
            <v>36500</v>
          </cell>
          <cell r="F804">
            <v>219000</v>
          </cell>
          <cell r="G804">
            <v>1825</v>
          </cell>
          <cell r="Q804">
            <v>39000</v>
          </cell>
          <cell r="S804" t="str">
            <v>pak</v>
          </cell>
        </row>
        <row r="805">
          <cell r="A805" t="str">
            <v>pokol10</v>
          </cell>
          <cell r="B805" t="str">
            <v>Mamy Poko L rtg Isi 10</v>
          </cell>
          <cell r="C805">
            <v>10</v>
          </cell>
          <cell r="D805" t="str">
            <v>rtg</v>
          </cell>
          <cell r="E805">
            <v>19333.333333333332</v>
          </cell>
          <cell r="F805">
            <v>232000</v>
          </cell>
          <cell r="G805">
            <v>1933.3333333333333</v>
          </cell>
          <cell r="H805">
            <v>3000</v>
          </cell>
          <cell r="I805" t="str">
            <v>pc</v>
          </cell>
          <cell r="J805">
            <v>3000</v>
          </cell>
          <cell r="K805" t="str">
            <v>pc</v>
          </cell>
          <cell r="L805">
            <v>3000</v>
          </cell>
          <cell r="M805" t="str">
            <v>pc</v>
          </cell>
          <cell r="N805">
            <v>21000</v>
          </cell>
          <cell r="O805">
            <v>10</v>
          </cell>
          <cell r="P805" t="str">
            <v>rtg</v>
          </cell>
        </row>
        <row r="806">
          <cell r="A806" t="str">
            <v>POKOM20</v>
          </cell>
          <cell r="B806" t="str">
            <v>Mamy Poko M pak 20</v>
          </cell>
          <cell r="C806">
            <v>20</v>
          </cell>
          <cell r="D806" t="str">
            <v>pak</v>
          </cell>
          <cell r="E806">
            <v>35166.666666666664</v>
          </cell>
          <cell r="F806">
            <v>211000</v>
          </cell>
          <cell r="G806">
            <v>1758.3333333333333</v>
          </cell>
          <cell r="Q806">
            <v>38500</v>
          </cell>
          <cell r="S806" t="str">
            <v>pak</v>
          </cell>
        </row>
        <row r="807">
          <cell r="A807" t="str">
            <v>POKOM32</v>
          </cell>
          <cell r="B807" t="str">
            <v>Mamy Poko M pak 32</v>
          </cell>
          <cell r="C807">
            <v>32</v>
          </cell>
          <cell r="D807" t="str">
            <v>pak</v>
          </cell>
          <cell r="E807">
            <v>50000</v>
          </cell>
          <cell r="G807">
            <v>1562.5</v>
          </cell>
        </row>
        <row r="808">
          <cell r="A808" t="str">
            <v>POKOM34</v>
          </cell>
          <cell r="B808" t="str">
            <v>Mamy Poko M pak 34</v>
          </cell>
          <cell r="C808">
            <v>34</v>
          </cell>
          <cell r="D808" t="str">
            <v>pak</v>
          </cell>
          <cell r="E808">
            <v>56125</v>
          </cell>
          <cell r="F808">
            <v>224500</v>
          </cell>
          <cell r="G808">
            <v>1650.7352941176471</v>
          </cell>
          <cell r="Q808">
            <v>59000</v>
          </cell>
          <cell r="S808" t="str">
            <v>pak</v>
          </cell>
        </row>
        <row r="809">
          <cell r="A809" t="str">
            <v>HAPPYM34</v>
          </cell>
          <cell r="B809" t="str">
            <v>BABY HAPPY M pak 34</v>
          </cell>
          <cell r="C809">
            <v>34</v>
          </cell>
          <cell r="D809" t="str">
            <v>pak</v>
          </cell>
          <cell r="E809">
            <v>53600</v>
          </cell>
          <cell r="F809">
            <v>214400</v>
          </cell>
          <cell r="G809">
            <v>1576.4705882352941</v>
          </cell>
          <cell r="Q809">
            <v>57000</v>
          </cell>
          <cell r="S809" t="str">
            <v>pak</v>
          </cell>
        </row>
        <row r="810">
          <cell r="A810" t="str">
            <v>HAPPYM20</v>
          </cell>
          <cell r="B810" t="str">
            <v>BABY HAPPY M pak 20+4</v>
          </cell>
          <cell r="C810">
            <v>24</v>
          </cell>
          <cell r="D810" t="str">
            <v>pak</v>
          </cell>
          <cell r="E810" t="e">
            <v>#VALUE!</v>
          </cell>
          <cell r="F810" t="str">
            <v xml:space="preserve"> </v>
          </cell>
          <cell r="G810" t="e">
            <v>#VALUE!</v>
          </cell>
          <cell r="Q810">
            <v>36000</v>
          </cell>
          <cell r="S810" t="str">
            <v>pak</v>
          </cell>
        </row>
        <row r="811">
          <cell r="A811" t="str">
            <v>HAPPYM6</v>
          </cell>
          <cell r="B811" t="str">
            <v>BABY HAPPY M RENTENG ISI 6</v>
          </cell>
          <cell r="C811">
            <v>6</v>
          </cell>
          <cell r="D811" t="str">
            <v>rtg</v>
          </cell>
          <cell r="E811">
            <v>10500</v>
          </cell>
          <cell r="F811">
            <v>84000</v>
          </cell>
          <cell r="G811">
            <v>1750</v>
          </cell>
          <cell r="N811">
            <v>11500</v>
          </cell>
          <cell r="O811">
            <v>6</v>
          </cell>
          <cell r="P811" t="str">
            <v>rtg</v>
          </cell>
        </row>
        <row r="812">
          <cell r="A812" t="str">
            <v>HAPPYM9</v>
          </cell>
          <cell r="B812" t="str">
            <v>BABY HAPPY M isi 9</v>
          </cell>
          <cell r="C812">
            <v>12</v>
          </cell>
          <cell r="D812" t="str">
            <v>pak</v>
          </cell>
          <cell r="E812">
            <v>180000</v>
          </cell>
          <cell r="G812">
            <v>15000</v>
          </cell>
          <cell r="Q812">
            <v>17500</v>
          </cell>
          <cell r="S812" t="str">
            <v>pak</v>
          </cell>
        </row>
        <row r="813">
          <cell r="A813" t="str">
            <v>POKOM40</v>
          </cell>
          <cell r="B813" t="str">
            <v>Mamy Poko M pak 40</v>
          </cell>
          <cell r="C813">
            <v>40</v>
          </cell>
          <cell r="D813" t="str">
            <v>pak</v>
          </cell>
          <cell r="E813">
            <v>63000</v>
          </cell>
          <cell r="G813">
            <v>1575</v>
          </cell>
          <cell r="Q813">
            <v>66000</v>
          </cell>
          <cell r="S813" t="str">
            <v>pak</v>
          </cell>
        </row>
        <row r="814">
          <cell r="A814" t="str">
            <v>POKOM9</v>
          </cell>
          <cell r="B814" t="str">
            <v>Mamy Poko M pak 9</v>
          </cell>
          <cell r="C814">
            <v>9</v>
          </cell>
          <cell r="D814" t="str">
            <v>pak</v>
          </cell>
          <cell r="E814">
            <v>15916.666666666666</v>
          </cell>
          <cell r="F814">
            <v>191000</v>
          </cell>
          <cell r="G814">
            <v>1768.5185185185185</v>
          </cell>
          <cell r="Q814">
            <v>17500</v>
          </cell>
          <cell r="S814" t="str">
            <v>pak</v>
          </cell>
          <cell r="AA814">
            <v>193000</v>
          </cell>
          <cell r="AB814" t="str">
            <v>dos</v>
          </cell>
        </row>
        <row r="815">
          <cell r="A815" t="str">
            <v>POKOM10</v>
          </cell>
          <cell r="B815" t="str">
            <v>Mamy Poko M rtg isi 10</v>
          </cell>
          <cell r="C815">
            <v>10</v>
          </cell>
          <cell r="D815" t="str">
            <v>rtg</v>
          </cell>
          <cell r="E815">
            <v>19333.333333333332</v>
          </cell>
          <cell r="F815">
            <v>232000</v>
          </cell>
          <cell r="G815">
            <v>1933.3333333333333</v>
          </cell>
          <cell r="N815">
            <v>22000</v>
          </cell>
          <cell r="P815" t="str">
            <v>rtg</v>
          </cell>
        </row>
        <row r="816">
          <cell r="A816" t="str">
            <v>POKOM6</v>
          </cell>
          <cell r="B816" t="str">
            <v>Mamy Poko M rtg isi 6</v>
          </cell>
          <cell r="C816">
            <v>6</v>
          </cell>
          <cell r="D816" t="str">
            <v>rtg</v>
          </cell>
          <cell r="E816">
            <v>10850</v>
          </cell>
          <cell r="F816">
            <v>217000</v>
          </cell>
          <cell r="G816">
            <v>1808.3333333333333</v>
          </cell>
          <cell r="H816">
            <v>2500</v>
          </cell>
          <cell r="I816" t="str">
            <v>pc</v>
          </cell>
          <cell r="J816">
            <v>2500</v>
          </cell>
          <cell r="K816" t="str">
            <v>pc</v>
          </cell>
          <cell r="L816">
            <v>2500</v>
          </cell>
          <cell r="M816" t="str">
            <v>pc</v>
          </cell>
          <cell r="N816">
            <v>12500</v>
          </cell>
          <cell r="P816" t="str">
            <v>rtg</v>
          </cell>
        </row>
        <row r="817">
          <cell r="A817" t="str">
            <v>POKOS11</v>
          </cell>
          <cell r="B817" t="str">
            <v>Mamy Poko S 11</v>
          </cell>
          <cell r="C817">
            <v>11</v>
          </cell>
          <cell r="D817" t="str">
            <v>pak</v>
          </cell>
          <cell r="E817">
            <v>15166.666666666666</v>
          </cell>
          <cell r="F817">
            <v>182000</v>
          </cell>
          <cell r="G817">
            <v>1378.7878787878788</v>
          </cell>
          <cell r="Q817">
            <v>17000</v>
          </cell>
          <cell r="S817" t="str">
            <v>pak</v>
          </cell>
        </row>
        <row r="818">
          <cell r="A818" t="str">
            <v>POKOS22</v>
          </cell>
          <cell r="B818" t="str">
            <v>Mamy Poko S 22</v>
          </cell>
          <cell r="C818">
            <v>22</v>
          </cell>
          <cell r="D818" t="str">
            <v>pak</v>
          </cell>
          <cell r="E818">
            <v>31375</v>
          </cell>
          <cell r="F818">
            <v>251000</v>
          </cell>
          <cell r="G818">
            <v>1426.1363636363637</v>
          </cell>
          <cell r="Q818">
            <v>33500</v>
          </cell>
          <cell r="S818" t="str">
            <v>pak</v>
          </cell>
          <cell r="AA818">
            <v>261000</v>
          </cell>
          <cell r="AB818" t="str">
            <v>dos</v>
          </cell>
        </row>
        <row r="819">
          <cell r="A819" t="str">
            <v>POKOS40</v>
          </cell>
          <cell r="B819" t="str">
            <v>Mamy Poko S 40</v>
          </cell>
          <cell r="C819">
            <v>40</v>
          </cell>
          <cell r="D819" t="str">
            <v>pak</v>
          </cell>
          <cell r="E819">
            <v>56250</v>
          </cell>
          <cell r="F819">
            <v>225000</v>
          </cell>
          <cell r="G819">
            <v>1406.25</v>
          </cell>
          <cell r="Q819">
            <v>59000</v>
          </cell>
          <cell r="S819" t="str">
            <v>pak</v>
          </cell>
        </row>
        <row r="820">
          <cell r="A820" t="str">
            <v>POKOS6</v>
          </cell>
          <cell r="B820" t="str">
            <v>Mamy Poko S rtg isi 6</v>
          </cell>
          <cell r="C820">
            <v>6</v>
          </cell>
          <cell r="D820" t="str">
            <v>rtg</v>
          </cell>
          <cell r="E820">
            <v>8500</v>
          </cell>
          <cell r="F820">
            <v>170000</v>
          </cell>
          <cell r="G820">
            <v>1416.6666666666667</v>
          </cell>
          <cell r="H820">
            <v>2500</v>
          </cell>
          <cell r="I820" t="str">
            <v>pc</v>
          </cell>
          <cell r="J820">
            <v>2500</v>
          </cell>
          <cell r="K820" t="str">
            <v>pc</v>
          </cell>
          <cell r="N820">
            <v>11000</v>
          </cell>
          <cell r="P820" t="str">
            <v>rtg</v>
          </cell>
          <cell r="AA820">
            <v>185000</v>
          </cell>
          <cell r="AB820" t="str">
            <v>dos</v>
          </cell>
        </row>
        <row r="821">
          <cell r="A821" t="str">
            <v>POKOS10</v>
          </cell>
          <cell r="B821" t="str">
            <v>Mamy Poko S rtg isi 10</v>
          </cell>
          <cell r="C821">
            <v>10</v>
          </cell>
          <cell r="D821" t="str">
            <v>rtg</v>
          </cell>
          <cell r="E821">
            <v>14166.666666666666</v>
          </cell>
          <cell r="F821">
            <v>170000</v>
          </cell>
          <cell r="G821">
            <v>1416.6666666666665</v>
          </cell>
          <cell r="H821">
            <v>2500</v>
          </cell>
          <cell r="I821" t="str">
            <v>pc</v>
          </cell>
          <cell r="J821">
            <v>2500</v>
          </cell>
          <cell r="K821" t="str">
            <v>pc</v>
          </cell>
          <cell r="N821">
            <v>17000</v>
          </cell>
          <cell r="P821" t="str">
            <v>rtg</v>
          </cell>
        </row>
        <row r="822">
          <cell r="A822" t="str">
            <v>HAPPYS10B</v>
          </cell>
          <cell r="B822" t="str">
            <v>Baby Happy Body Fit S isi 10</v>
          </cell>
          <cell r="C822">
            <v>12</v>
          </cell>
          <cell r="D822" t="str">
            <v>pak</v>
          </cell>
          <cell r="E822">
            <v>187500</v>
          </cell>
          <cell r="G822">
            <v>15625</v>
          </cell>
          <cell r="Q822">
            <v>17500</v>
          </cell>
          <cell r="S822" t="str">
            <v>pak</v>
          </cell>
        </row>
        <row r="823">
          <cell r="A823" t="str">
            <v>HAPPYS10P</v>
          </cell>
          <cell r="B823" t="str">
            <v>Baby Happy Body Praktis S isi 10</v>
          </cell>
          <cell r="C823">
            <v>12</v>
          </cell>
          <cell r="D823" t="str">
            <v>pak</v>
          </cell>
          <cell r="E823">
            <v>126000</v>
          </cell>
          <cell r="G823">
            <v>10500</v>
          </cell>
          <cell r="Q823">
            <v>13500</v>
          </cell>
          <cell r="S823" t="str">
            <v>pak</v>
          </cell>
        </row>
        <row r="824">
          <cell r="A824" t="str">
            <v>HAPPYS20</v>
          </cell>
          <cell r="B824" t="str">
            <v>Baby Happy Body Praktis S isi 20</v>
          </cell>
          <cell r="C824">
            <v>6</v>
          </cell>
          <cell r="D824" t="str">
            <v>pak</v>
          </cell>
          <cell r="E824">
            <v>181500</v>
          </cell>
          <cell r="G824">
            <v>30250</v>
          </cell>
          <cell r="Q824">
            <v>33500</v>
          </cell>
          <cell r="S824" t="str">
            <v>pak</v>
          </cell>
        </row>
        <row r="825">
          <cell r="A825" t="str">
            <v>POKOXL38</v>
          </cell>
          <cell r="B825" t="str">
            <v>Mamy Poko XL 38</v>
          </cell>
          <cell r="C825">
            <v>38</v>
          </cell>
          <cell r="D825" t="str">
            <v>pak</v>
          </cell>
          <cell r="E825">
            <v>82100</v>
          </cell>
          <cell r="F825">
            <v>328400</v>
          </cell>
          <cell r="G825">
            <v>2160.5263157894738</v>
          </cell>
          <cell r="Q825">
            <v>85000</v>
          </cell>
          <cell r="S825" t="str">
            <v>pak</v>
          </cell>
        </row>
        <row r="826">
          <cell r="A826" t="str">
            <v>POKOXL20</v>
          </cell>
          <cell r="B826" t="str">
            <v>Mamy Poko XL 20</v>
          </cell>
          <cell r="C826">
            <v>20</v>
          </cell>
          <cell r="D826" t="str">
            <v>pak</v>
          </cell>
          <cell r="E826">
            <v>46833.333333333336</v>
          </cell>
          <cell r="F826">
            <v>281000</v>
          </cell>
          <cell r="G826">
            <v>2341.666666666667</v>
          </cell>
          <cell r="Q826">
            <v>49000</v>
          </cell>
          <cell r="S826" t="str">
            <v>pak</v>
          </cell>
        </row>
        <row r="827">
          <cell r="A827" t="str">
            <v>POKOXL26</v>
          </cell>
          <cell r="B827" t="str">
            <v>Mamy Poko XL 26</v>
          </cell>
          <cell r="C827">
            <v>4</v>
          </cell>
          <cell r="D827" t="str">
            <v>pak</v>
          </cell>
          <cell r="E827">
            <v>218800</v>
          </cell>
          <cell r="G827">
            <v>54700</v>
          </cell>
          <cell r="H827">
            <v>58500</v>
          </cell>
          <cell r="I827" t="str">
            <v>pak</v>
          </cell>
          <cell r="J827">
            <v>58500</v>
          </cell>
          <cell r="K827" t="str">
            <v>pak</v>
          </cell>
          <cell r="L827">
            <v>58500</v>
          </cell>
          <cell r="M827" t="str">
            <v>pak</v>
          </cell>
        </row>
        <row r="828">
          <cell r="A828" t="str">
            <v>POKOXL7</v>
          </cell>
          <cell r="B828" t="str">
            <v>Mamy Poko XL 7</v>
          </cell>
          <cell r="C828">
            <v>7</v>
          </cell>
          <cell r="D828" t="str">
            <v>pak</v>
          </cell>
          <cell r="E828">
            <v>15916.666666666666</v>
          </cell>
          <cell r="F828">
            <v>191000</v>
          </cell>
          <cell r="G828">
            <v>2273.8095238095239</v>
          </cell>
          <cell r="Q828">
            <v>18000</v>
          </cell>
          <cell r="S828" t="str">
            <v>pak</v>
          </cell>
          <cell r="AA828">
            <v>194500</v>
          </cell>
          <cell r="AB828" t="str">
            <v>dos</v>
          </cell>
        </row>
        <row r="829">
          <cell r="A829" t="str">
            <v>POKOXL6</v>
          </cell>
          <cell r="B829" t="str">
            <v>Mamy Poko XL rtg ISI 6</v>
          </cell>
          <cell r="C829">
            <v>6</v>
          </cell>
          <cell r="D829" t="str">
            <v>rtg</v>
          </cell>
          <cell r="E829">
            <v>13550</v>
          </cell>
          <cell r="F829">
            <v>271000</v>
          </cell>
          <cell r="G829">
            <v>2258.3333333333335</v>
          </cell>
          <cell r="H829">
            <v>3000</v>
          </cell>
          <cell r="I829" t="str">
            <v>pc</v>
          </cell>
          <cell r="J829">
            <v>3000</v>
          </cell>
          <cell r="K829" t="str">
            <v>pc</v>
          </cell>
          <cell r="L829">
            <v>3000</v>
          </cell>
          <cell r="M829" t="str">
            <v>pc</v>
          </cell>
          <cell r="N829">
            <v>16000</v>
          </cell>
          <cell r="P829" t="str">
            <v>rtg</v>
          </cell>
        </row>
        <row r="830">
          <cell r="A830" t="str">
            <v>HAPPYXL6</v>
          </cell>
          <cell r="B830" t="str">
            <v>HAPPY XL rtg ISI 6</v>
          </cell>
          <cell r="C830">
            <v>6</v>
          </cell>
          <cell r="D830" t="str">
            <v>rtg</v>
          </cell>
          <cell r="E830">
            <v>13200</v>
          </cell>
          <cell r="F830">
            <v>105600</v>
          </cell>
          <cell r="G830">
            <v>2200</v>
          </cell>
          <cell r="H830">
            <v>3000</v>
          </cell>
          <cell r="I830" t="str">
            <v>pc</v>
          </cell>
          <cell r="J830">
            <v>3000</v>
          </cell>
          <cell r="K830" t="str">
            <v>pc</v>
          </cell>
          <cell r="L830">
            <v>3000</v>
          </cell>
          <cell r="M830" t="str">
            <v>pc</v>
          </cell>
          <cell r="N830">
            <v>15000</v>
          </cell>
          <cell r="P830" t="str">
            <v>rtg</v>
          </cell>
        </row>
        <row r="831">
          <cell r="A831" t="str">
            <v>POKOXL10</v>
          </cell>
          <cell r="B831" t="str">
            <v>Mamy Poko XL rtg ISI 10</v>
          </cell>
          <cell r="C831">
            <v>10</v>
          </cell>
          <cell r="D831" t="str">
            <v>rtg</v>
          </cell>
          <cell r="E831">
            <v>23333.333333333332</v>
          </cell>
          <cell r="F831">
            <v>280000</v>
          </cell>
          <cell r="G831">
            <v>2333.333333333333</v>
          </cell>
          <cell r="N831">
            <v>26000</v>
          </cell>
          <cell r="P831" t="str">
            <v>rtg</v>
          </cell>
        </row>
        <row r="832">
          <cell r="A832" t="str">
            <v>HAPPYXXL6</v>
          </cell>
          <cell r="B832" t="str">
            <v>Mamy Poko XXL 6</v>
          </cell>
          <cell r="C832">
            <v>12</v>
          </cell>
          <cell r="D832" t="str">
            <v>pcs</v>
          </cell>
          <cell r="E832">
            <v>180000</v>
          </cell>
          <cell r="G832">
            <v>15000</v>
          </cell>
          <cell r="Q832">
            <v>17500</v>
          </cell>
          <cell r="S832" t="str">
            <v>pak</v>
          </cell>
        </row>
        <row r="833">
          <cell r="A833" t="str">
            <v>HAPPYXXL4</v>
          </cell>
          <cell r="B833" t="str">
            <v>Mamy Poko XXL 4</v>
          </cell>
          <cell r="C833">
            <v>1</v>
          </cell>
          <cell r="D833" t="str">
            <v>pcs</v>
          </cell>
          <cell r="G833">
            <v>0</v>
          </cell>
          <cell r="N833">
            <v>17500</v>
          </cell>
          <cell r="P833" t="str">
            <v>rtg</v>
          </cell>
        </row>
        <row r="834">
          <cell r="A834" t="str">
            <v>POKOXXL18</v>
          </cell>
          <cell r="B834" t="str">
            <v>Mamy Poko XXL 18</v>
          </cell>
          <cell r="C834">
            <v>1</v>
          </cell>
          <cell r="D834" t="str">
            <v>pcs</v>
          </cell>
          <cell r="E834">
            <v>50300</v>
          </cell>
          <cell r="G834">
            <v>50300</v>
          </cell>
          <cell r="H834">
            <v>53500</v>
          </cell>
          <cell r="I834" t="str">
            <v>pc</v>
          </cell>
          <cell r="J834">
            <v>53500</v>
          </cell>
          <cell r="K834" t="str">
            <v>pc</v>
          </cell>
          <cell r="L834">
            <v>53500</v>
          </cell>
          <cell r="M834" t="str">
            <v>pc</v>
          </cell>
        </row>
        <row r="835">
          <cell r="A835" t="str">
            <v>POKOXXL24</v>
          </cell>
          <cell r="B835" t="str">
            <v>Mamy Poko XXL 24</v>
          </cell>
          <cell r="C835">
            <v>4</v>
          </cell>
          <cell r="D835" t="str">
            <v>pak</v>
          </cell>
          <cell r="E835">
            <v>236000</v>
          </cell>
          <cell r="G835">
            <v>59000</v>
          </cell>
          <cell r="H835">
            <v>62000</v>
          </cell>
          <cell r="I835" t="str">
            <v>pak</v>
          </cell>
          <cell r="J835">
            <v>62000</v>
          </cell>
          <cell r="K835" t="str">
            <v>pak</v>
          </cell>
          <cell r="L835">
            <v>61500</v>
          </cell>
          <cell r="M835" t="str">
            <v>pak</v>
          </cell>
        </row>
        <row r="836">
          <cell r="A836" t="str">
            <v>POKOXXL6</v>
          </cell>
          <cell r="B836" t="str">
            <v>Mamy Poko XXL NIGHT ISI 6</v>
          </cell>
          <cell r="C836">
            <v>6</v>
          </cell>
          <cell r="D836" t="str">
            <v>pcs</v>
          </cell>
          <cell r="E836">
            <v>14666.666666666666</v>
          </cell>
          <cell r="F836">
            <v>176000</v>
          </cell>
          <cell r="G836">
            <v>2444.4444444444443</v>
          </cell>
          <cell r="Q836">
            <v>16500</v>
          </cell>
          <cell r="S836" t="str">
            <v>pak</v>
          </cell>
        </row>
        <row r="837">
          <cell r="A837" t="str">
            <v>POKOXXL1</v>
          </cell>
          <cell r="B837" t="str">
            <v>Mamy Poko XXL rtg</v>
          </cell>
          <cell r="C837">
            <v>10</v>
          </cell>
          <cell r="D837" t="str">
            <v>rtg</v>
          </cell>
          <cell r="E837">
            <v>27500</v>
          </cell>
          <cell r="F837">
            <v>330000</v>
          </cell>
          <cell r="G837">
            <v>2750</v>
          </cell>
          <cell r="H837">
            <v>3500</v>
          </cell>
          <cell r="I837" t="str">
            <v>pc</v>
          </cell>
          <cell r="J837">
            <v>3500</v>
          </cell>
          <cell r="K837" t="str">
            <v>pc</v>
          </cell>
          <cell r="L837">
            <v>3500</v>
          </cell>
          <cell r="M837" t="str">
            <v>pc</v>
          </cell>
          <cell r="N837">
            <v>30000</v>
          </cell>
          <cell r="P837" t="str">
            <v>rtg</v>
          </cell>
          <cell r="AA837">
            <v>335000</v>
          </cell>
          <cell r="AB837" t="str">
            <v>dos</v>
          </cell>
        </row>
        <row r="838">
          <cell r="A838" t="str">
            <v>AMANDAK</v>
          </cell>
          <cell r="B838" t="str">
            <v>Mentega AMADA / MITRA  Kiloan</v>
          </cell>
          <cell r="C838">
            <v>29.5</v>
          </cell>
          <cell r="D838" t="str">
            <v>pcs</v>
          </cell>
          <cell r="E838">
            <v>203000</v>
          </cell>
          <cell r="G838">
            <v>6881.3559322033898</v>
          </cell>
          <cell r="H838">
            <v>7500</v>
          </cell>
          <cell r="I838" t="str">
            <v>bks</v>
          </cell>
          <cell r="J838">
            <v>7500</v>
          </cell>
          <cell r="K838" t="str">
            <v>bks</v>
          </cell>
          <cell r="W838">
            <v>5800</v>
          </cell>
          <cell r="X838" t="str">
            <v>pc</v>
          </cell>
          <cell r="Y838">
            <v>5900</v>
          </cell>
          <cell r="Z838" t="str">
            <v>pc</v>
          </cell>
        </row>
        <row r="839">
          <cell r="A839" t="str">
            <v>AMANDAR</v>
          </cell>
          <cell r="B839" t="str">
            <v>Mentega AMADA renteng</v>
          </cell>
          <cell r="C839">
            <v>13</v>
          </cell>
          <cell r="D839" t="str">
            <v>pcs</v>
          </cell>
          <cell r="E839">
            <v>61879</v>
          </cell>
          <cell r="F839">
            <v>172000</v>
          </cell>
          <cell r="G839">
            <v>4759.9230769230771</v>
          </cell>
          <cell r="H839">
            <v>6000</v>
          </cell>
          <cell r="J839">
            <v>6000</v>
          </cell>
        </row>
        <row r="840">
          <cell r="A840" t="str">
            <v>BLUE200B</v>
          </cell>
          <cell r="B840" t="str">
            <v>Mentega Blue Band 200</v>
          </cell>
          <cell r="C840">
            <v>12</v>
          </cell>
          <cell r="D840" t="str">
            <v>pcs</v>
          </cell>
          <cell r="E840">
            <v>108000</v>
          </cell>
          <cell r="F840">
            <v>108000</v>
          </cell>
          <cell r="G840">
            <v>9000</v>
          </cell>
          <cell r="H840">
            <v>10000</v>
          </cell>
          <cell r="I840" t="str">
            <v>pc</v>
          </cell>
          <cell r="J840">
            <v>10000</v>
          </cell>
          <cell r="K840" t="str">
            <v>pc</v>
          </cell>
          <cell r="Y840">
            <v>9000</v>
          </cell>
        </row>
        <row r="841">
          <cell r="A841" t="str">
            <v>BLUE250</v>
          </cell>
          <cell r="B841" t="str">
            <v>Mentega Blue Band 250 gr</v>
          </cell>
          <cell r="C841">
            <v>12</v>
          </cell>
          <cell r="D841" t="str">
            <v>pcs</v>
          </cell>
          <cell r="E841">
            <v>112200</v>
          </cell>
          <cell r="F841">
            <v>112200</v>
          </cell>
          <cell r="G841">
            <v>9350</v>
          </cell>
        </row>
        <row r="842">
          <cell r="A842" t="str">
            <v>BLUE1</v>
          </cell>
          <cell r="B842" t="str">
            <v>Mentega Blue Band 250 gr</v>
          </cell>
          <cell r="C842">
            <v>12</v>
          </cell>
          <cell r="D842" t="str">
            <v>pcs</v>
          </cell>
          <cell r="E842">
            <v>468000</v>
          </cell>
          <cell r="G842">
            <v>39000</v>
          </cell>
        </row>
        <row r="843">
          <cell r="A843" t="str">
            <v>BLUE200C</v>
          </cell>
          <cell r="B843" t="str">
            <v>Mentega Blue Band Baru Cake 200</v>
          </cell>
          <cell r="C843">
            <v>6</v>
          </cell>
          <cell r="D843" t="str">
            <v>pcs</v>
          </cell>
          <cell r="E843">
            <v>54000</v>
          </cell>
          <cell r="F843">
            <v>108000</v>
          </cell>
          <cell r="G843">
            <v>9000</v>
          </cell>
          <cell r="H843">
            <v>10000</v>
          </cell>
          <cell r="I843" t="str">
            <v>pc</v>
          </cell>
          <cell r="J843">
            <v>9500</v>
          </cell>
          <cell r="K843" t="str">
            <v>pc</v>
          </cell>
          <cell r="L843">
            <v>9500</v>
          </cell>
          <cell r="M843" t="str">
            <v>pc</v>
          </cell>
        </row>
        <row r="844">
          <cell r="A844" t="str">
            <v>PEDASK</v>
          </cell>
          <cell r="B844" t="str">
            <v>Mi ABC Selera Pedas Kuah</v>
          </cell>
          <cell r="C844">
            <v>40</v>
          </cell>
          <cell r="D844" t="str">
            <v>dos</v>
          </cell>
          <cell r="E844">
            <v>78500</v>
          </cell>
          <cell r="G844">
            <v>1962.5</v>
          </cell>
          <cell r="H844">
            <v>2500</v>
          </cell>
          <cell r="I844" t="str">
            <v>pc</v>
          </cell>
          <cell r="J844">
            <v>2500</v>
          </cell>
          <cell r="K844" t="str">
            <v>pc</v>
          </cell>
          <cell r="L844">
            <v>2300</v>
          </cell>
          <cell r="M844" t="str">
            <v>pc</v>
          </cell>
          <cell r="W844">
            <v>2400</v>
          </cell>
          <cell r="X844" t="str">
            <v>pc</v>
          </cell>
          <cell r="Y844">
            <v>2500</v>
          </cell>
          <cell r="Z844" t="str">
            <v>pc</v>
          </cell>
          <cell r="AA844">
            <v>81000</v>
          </cell>
          <cell r="AB844" t="str">
            <v>dos</v>
          </cell>
        </row>
        <row r="845">
          <cell r="A845" t="str">
            <v>PEDASG</v>
          </cell>
          <cell r="B845" t="str">
            <v>Mi ABC Selera Pedas Goreng</v>
          </cell>
          <cell r="C845">
            <v>40</v>
          </cell>
          <cell r="D845" t="str">
            <v>dos</v>
          </cell>
          <cell r="E845">
            <v>86000</v>
          </cell>
          <cell r="G845">
            <v>2150</v>
          </cell>
          <cell r="H845">
            <v>2500</v>
          </cell>
          <cell r="I845" t="str">
            <v>pc</v>
          </cell>
          <cell r="J845">
            <v>2500</v>
          </cell>
          <cell r="K845" t="str">
            <v>pc</v>
          </cell>
          <cell r="L845">
            <v>2300</v>
          </cell>
          <cell r="M845" t="str">
            <v>pc</v>
          </cell>
          <cell r="W845">
            <v>2150</v>
          </cell>
          <cell r="X845" t="str">
            <v>pc</v>
          </cell>
          <cell r="Y845">
            <v>2200</v>
          </cell>
          <cell r="Z845" t="str">
            <v>pc</v>
          </cell>
          <cell r="AA845">
            <v>88000</v>
          </cell>
          <cell r="AB845" t="str">
            <v>dos</v>
          </cell>
        </row>
        <row r="846">
          <cell r="A846" t="str">
            <v>DARA</v>
          </cell>
          <cell r="B846" t="str">
            <v>Mi Burung dara</v>
          </cell>
          <cell r="C846">
            <v>6</v>
          </cell>
          <cell r="D846" t="str">
            <v>bks</v>
          </cell>
          <cell r="E846">
            <v>11833.333333333334</v>
          </cell>
          <cell r="F846">
            <v>71000</v>
          </cell>
          <cell r="G846">
            <v>1972.2222222222224</v>
          </cell>
          <cell r="H846">
            <v>2500</v>
          </cell>
          <cell r="I846" t="str">
            <v>pc</v>
          </cell>
          <cell r="J846">
            <v>2500</v>
          </cell>
          <cell r="K846" t="str">
            <v>pc</v>
          </cell>
          <cell r="L846">
            <v>2250</v>
          </cell>
          <cell r="M846" t="str">
            <v>pc</v>
          </cell>
          <cell r="N846">
            <v>13500</v>
          </cell>
          <cell r="O846">
            <v>6</v>
          </cell>
          <cell r="P846" t="str">
            <v>rtg</v>
          </cell>
          <cell r="W846">
            <v>2150</v>
          </cell>
          <cell r="X846" t="str">
            <v>pc</v>
          </cell>
          <cell r="Y846">
            <v>2200</v>
          </cell>
          <cell r="Z846" t="str">
            <v>pc</v>
          </cell>
          <cell r="AA846">
            <v>74000</v>
          </cell>
          <cell r="AB846" t="str">
            <v>dos</v>
          </cell>
        </row>
        <row r="847">
          <cell r="A847" t="str">
            <v>PIPIH</v>
          </cell>
          <cell r="B847" t="str">
            <v>Mi Burung dara Pipih</v>
          </cell>
          <cell r="C847">
            <v>24</v>
          </cell>
          <cell r="D847" t="str">
            <v>bks</v>
          </cell>
          <cell r="E847">
            <v>50000</v>
          </cell>
          <cell r="F847">
            <v>25000</v>
          </cell>
          <cell r="G847">
            <v>2083.3333333333335</v>
          </cell>
          <cell r="H847">
            <v>2500</v>
          </cell>
          <cell r="I847" t="str">
            <v>pc</v>
          </cell>
          <cell r="J847">
            <v>2500</v>
          </cell>
          <cell r="K847" t="str">
            <v>pc</v>
          </cell>
          <cell r="L847">
            <v>2300</v>
          </cell>
          <cell r="M847" t="str">
            <v>pc</v>
          </cell>
          <cell r="W847">
            <v>2200</v>
          </cell>
          <cell r="X847" t="str">
            <v>pc</v>
          </cell>
          <cell r="Y847">
            <v>2300</v>
          </cell>
          <cell r="Z847" t="str">
            <v>pc</v>
          </cell>
        </row>
        <row r="848">
          <cell r="A848" t="str">
            <v>MIGeLaS</v>
          </cell>
          <cell r="B848" t="str">
            <v xml:space="preserve">Mi Gelas RENTENG K </v>
          </cell>
          <cell r="C848">
            <v>10</v>
          </cell>
          <cell r="D848" t="str">
            <v>bks</v>
          </cell>
          <cell r="E848">
            <v>8250</v>
          </cell>
          <cell r="F848">
            <v>99000</v>
          </cell>
          <cell r="G848">
            <v>825</v>
          </cell>
          <cell r="N848">
            <v>9000</v>
          </cell>
          <cell r="O848">
            <v>10</v>
          </cell>
          <cell r="P848" t="str">
            <v>rtg</v>
          </cell>
        </row>
        <row r="849">
          <cell r="A849" t="str">
            <v>EKOMIB</v>
          </cell>
          <cell r="B849" t="str">
            <v>Mi EKOMI BESAR 3,6</v>
          </cell>
          <cell r="C849">
            <v>6</v>
          </cell>
          <cell r="D849" t="str">
            <v>pak</v>
          </cell>
          <cell r="E849">
            <v>11000</v>
          </cell>
          <cell r="G849">
            <v>1833.3333333333333</v>
          </cell>
          <cell r="H849">
            <v>11500</v>
          </cell>
          <cell r="I849" t="str">
            <v>pc</v>
          </cell>
          <cell r="J849">
            <v>11500</v>
          </cell>
          <cell r="K849" t="str">
            <v>pc</v>
          </cell>
          <cell r="L849">
            <v>11500</v>
          </cell>
          <cell r="M849" t="str">
            <v>pc</v>
          </cell>
        </row>
        <row r="850">
          <cell r="A850" t="str">
            <v>EKOMIK</v>
          </cell>
          <cell r="B850" t="str">
            <v xml:space="preserve">Mi EKOMI KECIL </v>
          </cell>
          <cell r="C850">
            <v>36</v>
          </cell>
          <cell r="D850" t="str">
            <v>pak</v>
          </cell>
          <cell r="E850">
            <v>60000</v>
          </cell>
          <cell r="G850">
            <v>1666.6666666666667</v>
          </cell>
          <cell r="H850">
            <v>2000</v>
          </cell>
          <cell r="I850" t="str">
            <v>pc</v>
          </cell>
          <cell r="J850">
            <v>2000</v>
          </cell>
          <cell r="K850" t="str">
            <v>pc</v>
          </cell>
          <cell r="L850">
            <v>2000</v>
          </cell>
          <cell r="M850" t="str">
            <v>pc</v>
          </cell>
          <cell r="Y850">
            <v>2000</v>
          </cell>
          <cell r="Z850" t="str">
            <v>pc</v>
          </cell>
        </row>
        <row r="851">
          <cell r="A851" t="str">
            <v>MIARWANA</v>
          </cell>
          <cell r="B851" t="str">
            <v>Mi Kuning Arwana</v>
          </cell>
          <cell r="C851">
            <v>20</v>
          </cell>
          <cell r="D851" t="str">
            <v>pak</v>
          </cell>
          <cell r="E851">
            <v>26000</v>
          </cell>
          <cell r="G851">
            <v>1300</v>
          </cell>
          <cell r="H851">
            <v>2000</v>
          </cell>
          <cell r="I851" t="str">
            <v>pc</v>
          </cell>
          <cell r="J851">
            <v>1700</v>
          </cell>
          <cell r="K851" t="str">
            <v>pc</v>
          </cell>
          <cell r="L851">
            <v>1500</v>
          </cell>
          <cell r="M851" t="str">
            <v>pc</v>
          </cell>
          <cell r="Q851">
            <v>28000</v>
          </cell>
          <cell r="R851">
            <v>20</v>
          </cell>
          <cell r="S851" t="str">
            <v>pak</v>
          </cell>
          <cell r="W851">
            <v>1350</v>
          </cell>
          <cell r="X851" t="str">
            <v>pc</v>
          </cell>
          <cell r="Y851">
            <v>1400</v>
          </cell>
          <cell r="Z851" t="str">
            <v>pc</v>
          </cell>
        </row>
        <row r="852">
          <cell r="A852" t="str">
            <v>SALSA</v>
          </cell>
          <cell r="B852" t="str">
            <v>Mi Mihun Jagung Padamu/ Salsa</v>
          </cell>
          <cell r="C852">
            <v>12</v>
          </cell>
          <cell r="D852" t="str">
            <v>bks</v>
          </cell>
          <cell r="E852">
            <v>56000</v>
          </cell>
          <cell r="F852">
            <v>124000</v>
          </cell>
          <cell r="G852">
            <v>4666.666666666667</v>
          </cell>
          <cell r="H852">
            <v>6000</v>
          </cell>
          <cell r="I852" t="str">
            <v>pc</v>
          </cell>
          <cell r="J852">
            <v>6000</v>
          </cell>
          <cell r="K852" t="str">
            <v>pc</v>
          </cell>
          <cell r="L852">
            <v>6000</v>
          </cell>
          <cell r="M852" t="str">
            <v>pc</v>
          </cell>
        </row>
        <row r="853">
          <cell r="A853" t="str">
            <v>MIHUN</v>
          </cell>
          <cell r="B853" t="str">
            <v>Mi Mihun Nus</v>
          </cell>
          <cell r="C853">
            <v>3</v>
          </cell>
          <cell r="D853" t="str">
            <v>Bal</v>
          </cell>
          <cell r="E853">
            <v>69000</v>
          </cell>
          <cell r="G853">
            <v>23000</v>
          </cell>
          <cell r="H853">
            <v>25000</v>
          </cell>
          <cell r="I853" t="str">
            <v>kg</v>
          </cell>
          <cell r="J853">
            <v>25000</v>
          </cell>
          <cell r="K853" t="str">
            <v>kg</v>
          </cell>
          <cell r="L853">
            <v>25000</v>
          </cell>
          <cell r="M853" t="str">
            <v>kg</v>
          </cell>
          <cell r="AA853">
            <v>73000</v>
          </cell>
          <cell r="AB853" t="str">
            <v>bal</v>
          </cell>
        </row>
        <row r="854">
          <cell r="A854" t="str">
            <v>SUKSESG</v>
          </cell>
          <cell r="B854" t="str">
            <v>Mi Sukses Goreng isi 2</v>
          </cell>
          <cell r="C854">
            <v>24</v>
          </cell>
          <cell r="D854" t="str">
            <v>dos</v>
          </cell>
          <cell r="E854">
            <v>74300</v>
          </cell>
          <cell r="G854">
            <v>3095.8333333333335</v>
          </cell>
          <cell r="H854">
            <v>3500</v>
          </cell>
          <cell r="I854" t="str">
            <v>bks</v>
          </cell>
          <cell r="J854">
            <v>3500</v>
          </cell>
          <cell r="K854" t="str">
            <v>bks</v>
          </cell>
          <cell r="L854">
            <v>3500</v>
          </cell>
          <cell r="M854" t="str">
            <v>bks</v>
          </cell>
          <cell r="Y854">
            <v>3500</v>
          </cell>
          <cell r="Z854" t="str">
            <v>bks</v>
          </cell>
          <cell r="AA854">
            <v>75000</v>
          </cell>
          <cell r="AB854" t="str">
            <v>dos</v>
          </cell>
        </row>
        <row r="855">
          <cell r="A855" t="str">
            <v>SUKSESK</v>
          </cell>
          <cell r="B855" t="str">
            <v>Mi Sukses Kuah isi 2</v>
          </cell>
          <cell r="C855">
            <v>24</v>
          </cell>
          <cell r="D855" t="str">
            <v>dos</v>
          </cell>
          <cell r="E855">
            <v>64520</v>
          </cell>
          <cell r="G855">
            <v>2688.3333333333335</v>
          </cell>
          <cell r="H855">
            <v>3500</v>
          </cell>
          <cell r="I855" t="str">
            <v>bks</v>
          </cell>
          <cell r="J855">
            <v>3500</v>
          </cell>
          <cell r="K855" t="str">
            <v>bks</v>
          </cell>
          <cell r="L855">
            <v>3000</v>
          </cell>
          <cell r="M855" t="str">
            <v>bks</v>
          </cell>
          <cell r="AA855">
            <v>67000</v>
          </cell>
          <cell r="AB855" t="str">
            <v>dos</v>
          </cell>
        </row>
        <row r="856">
          <cell r="A856" t="str">
            <v>BULAN</v>
          </cell>
          <cell r="B856" t="str">
            <v>Mi TELUR ATOM BULAN</v>
          </cell>
          <cell r="C856">
            <v>20</v>
          </cell>
          <cell r="D856" t="str">
            <v>dos</v>
          </cell>
          <cell r="E856">
            <v>88000</v>
          </cell>
          <cell r="F856">
            <v>52800</v>
          </cell>
          <cell r="G856">
            <v>4400</v>
          </cell>
          <cell r="H856">
            <v>5500</v>
          </cell>
          <cell r="I856" t="str">
            <v>pc</v>
          </cell>
          <cell r="J856">
            <v>5500</v>
          </cell>
          <cell r="K856" t="str">
            <v>pc</v>
          </cell>
          <cell r="L856">
            <v>4800</v>
          </cell>
          <cell r="M856" t="str">
            <v>pc</v>
          </cell>
          <cell r="T856">
            <v>55000</v>
          </cell>
          <cell r="U856">
            <v>12</v>
          </cell>
          <cell r="V856" t="str">
            <v>lsn</v>
          </cell>
          <cell r="W856">
            <v>4550</v>
          </cell>
          <cell r="X856" t="str">
            <v>pc</v>
          </cell>
          <cell r="Y856">
            <v>4600</v>
          </cell>
          <cell r="Z856" t="str">
            <v>pc</v>
          </cell>
          <cell r="AA856">
            <v>90000</v>
          </cell>
          <cell r="AB856" t="str">
            <v>dos</v>
          </cell>
        </row>
        <row r="857">
          <cell r="A857" t="str">
            <v>OVALTINR</v>
          </cell>
          <cell r="B857" t="str">
            <v>OVALTIN Renteng</v>
          </cell>
          <cell r="C857">
            <v>10</v>
          </cell>
          <cell r="D857" t="str">
            <v>rtg</v>
          </cell>
          <cell r="E857">
            <v>10330</v>
          </cell>
          <cell r="F857">
            <v>30990</v>
          </cell>
          <cell r="G857">
            <v>1033</v>
          </cell>
          <cell r="N857">
            <v>12000</v>
          </cell>
          <cell r="O857">
            <v>10</v>
          </cell>
          <cell r="P857" t="str">
            <v>rtg</v>
          </cell>
        </row>
        <row r="858">
          <cell r="A858" t="str">
            <v>OVALTIN300</v>
          </cell>
          <cell r="B858" t="str">
            <v>OVALTIN 300 gr</v>
          </cell>
          <cell r="C858">
            <v>24</v>
          </cell>
          <cell r="D858" t="str">
            <v>pcs</v>
          </cell>
          <cell r="E858">
            <v>645816</v>
          </cell>
          <cell r="F858">
            <v>322908</v>
          </cell>
          <cell r="G858">
            <v>26909</v>
          </cell>
          <cell r="H858">
            <v>29000</v>
          </cell>
          <cell r="I858" t="str">
            <v>pc</v>
          </cell>
          <cell r="J858">
            <v>29000</v>
          </cell>
          <cell r="K858" t="str">
            <v>pc</v>
          </cell>
          <cell r="L858">
            <v>28500</v>
          </cell>
          <cell r="M858" t="str">
            <v>pc</v>
          </cell>
        </row>
        <row r="859">
          <cell r="A859" t="str">
            <v>OVALTIN200</v>
          </cell>
          <cell r="B859" t="str">
            <v>OVALTIN 200 gr</v>
          </cell>
          <cell r="C859">
            <v>24</v>
          </cell>
          <cell r="D859" t="str">
            <v>pcs</v>
          </cell>
          <cell r="E859">
            <v>610920</v>
          </cell>
          <cell r="F859">
            <v>305460</v>
          </cell>
          <cell r="G859">
            <v>25455</v>
          </cell>
          <cell r="H859">
            <v>27500</v>
          </cell>
          <cell r="I859" t="str">
            <v>pc</v>
          </cell>
          <cell r="J859">
            <v>27500</v>
          </cell>
          <cell r="K859" t="str">
            <v>pc</v>
          </cell>
          <cell r="L859">
            <v>27500</v>
          </cell>
          <cell r="M859" t="str">
            <v>pc</v>
          </cell>
        </row>
        <row r="860">
          <cell r="A860" t="str">
            <v>MILOAR</v>
          </cell>
          <cell r="B860" t="str">
            <v>Milo 22 gr rtg</v>
          </cell>
          <cell r="C860">
            <v>10</v>
          </cell>
          <cell r="D860" t="str">
            <v>rtg</v>
          </cell>
          <cell r="E860">
            <v>17090</v>
          </cell>
          <cell r="F860">
            <v>341800</v>
          </cell>
          <cell r="G860">
            <v>1709</v>
          </cell>
          <cell r="H860">
            <v>3000</v>
          </cell>
          <cell r="I860" t="str">
            <v>pc</v>
          </cell>
          <cell r="J860">
            <v>3000</v>
          </cell>
          <cell r="K860" t="str">
            <v>pc</v>
          </cell>
          <cell r="L860">
            <v>3000</v>
          </cell>
          <cell r="M860" t="str">
            <v>pc</v>
          </cell>
          <cell r="N860">
            <v>18500</v>
          </cell>
          <cell r="O860">
            <v>10</v>
          </cell>
          <cell r="P860" t="str">
            <v>rtg</v>
          </cell>
        </row>
        <row r="861">
          <cell r="A861" t="str">
            <v>MILO15</v>
          </cell>
          <cell r="B861" t="str">
            <v>Milo 15 ml</v>
          </cell>
          <cell r="C861">
            <v>6</v>
          </cell>
          <cell r="D861" t="str">
            <v>pc</v>
          </cell>
          <cell r="E861">
            <v>19828</v>
          </cell>
          <cell r="G861">
            <v>3304.6666666666665</v>
          </cell>
          <cell r="H861">
            <v>4500</v>
          </cell>
          <cell r="I861" t="str">
            <v>pc</v>
          </cell>
          <cell r="J861">
            <v>4500</v>
          </cell>
          <cell r="K861" t="str">
            <v>pc</v>
          </cell>
          <cell r="L861">
            <v>4000</v>
          </cell>
          <cell r="M861" t="str">
            <v>pc</v>
          </cell>
        </row>
        <row r="862">
          <cell r="A862" t="str">
            <v>MILO225</v>
          </cell>
          <cell r="B862" t="str">
            <v>Milo 225 ml</v>
          </cell>
          <cell r="C862">
            <v>6</v>
          </cell>
          <cell r="D862" t="str">
            <v>pc</v>
          </cell>
          <cell r="E862">
            <v>47500</v>
          </cell>
          <cell r="G862">
            <v>7916.666666666667</v>
          </cell>
          <cell r="H862">
            <v>9000</v>
          </cell>
          <cell r="I862" t="str">
            <v>pc</v>
          </cell>
          <cell r="J862">
            <v>8500</v>
          </cell>
          <cell r="K862" t="str">
            <v>pc</v>
          </cell>
          <cell r="L862">
            <v>8500</v>
          </cell>
          <cell r="M862" t="str">
            <v>pc</v>
          </cell>
        </row>
        <row r="863">
          <cell r="A863" t="str">
            <v>MILO3R</v>
          </cell>
          <cell r="B863" t="str">
            <v>Milo 3 IN 1 35 gr rtg</v>
          </cell>
          <cell r="C863">
            <v>10</v>
          </cell>
          <cell r="D863" t="str">
            <v>rtg</v>
          </cell>
          <cell r="E863">
            <v>29630</v>
          </cell>
          <cell r="F863">
            <v>355560</v>
          </cell>
          <cell r="G863">
            <v>2963</v>
          </cell>
          <cell r="H863">
            <v>3500</v>
          </cell>
          <cell r="I863" t="str">
            <v>pc</v>
          </cell>
          <cell r="J863">
            <v>3500</v>
          </cell>
          <cell r="K863" t="str">
            <v>pc</v>
          </cell>
          <cell r="L863">
            <v>3300</v>
          </cell>
          <cell r="M863" t="str">
            <v>pc</v>
          </cell>
          <cell r="N863">
            <v>32000</v>
          </cell>
          <cell r="O863">
            <v>10</v>
          </cell>
          <cell r="P863" t="str">
            <v>rtg</v>
          </cell>
          <cell r="AA863">
            <v>347000</v>
          </cell>
          <cell r="AB863" t="str">
            <v>dos</v>
          </cell>
        </row>
        <row r="864">
          <cell r="A864" t="str">
            <v>MILO3600</v>
          </cell>
          <cell r="B864" t="str">
            <v>Milo 3/1 600 GR</v>
          </cell>
          <cell r="C864">
            <v>12</v>
          </cell>
          <cell r="D864" t="str">
            <v>ktk</v>
          </cell>
          <cell r="E864">
            <v>622220</v>
          </cell>
          <cell r="F864">
            <v>311110</v>
          </cell>
          <cell r="G864">
            <v>51851.666666666664</v>
          </cell>
        </row>
        <row r="865">
          <cell r="A865" t="str">
            <v>MILO1000</v>
          </cell>
          <cell r="B865" t="str">
            <v>Milo Activ Go 1 kg</v>
          </cell>
          <cell r="C865">
            <v>12</v>
          </cell>
          <cell r="D865" t="str">
            <v>ktk</v>
          </cell>
          <cell r="E865">
            <v>1002220</v>
          </cell>
          <cell r="G865">
            <v>83518.333333333328</v>
          </cell>
          <cell r="H865">
            <v>87000</v>
          </cell>
          <cell r="I865" t="str">
            <v>pc</v>
          </cell>
          <cell r="J865">
            <v>87000</v>
          </cell>
          <cell r="K865" t="str">
            <v>pc</v>
          </cell>
          <cell r="L865">
            <v>86500</v>
          </cell>
          <cell r="M865" t="str">
            <v>pc</v>
          </cell>
        </row>
        <row r="866">
          <cell r="A866" t="str">
            <v>MILO115</v>
          </cell>
          <cell r="B866" t="str">
            <v>Milo Kotak 115 ml K</v>
          </cell>
          <cell r="C866">
            <v>36</v>
          </cell>
          <cell r="D866" t="str">
            <v>ktk</v>
          </cell>
          <cell r="E866">
            <v>81820</v>
          </cell>
          <cell r="F866">
            <v>27273.333333333336</v>
          </cell>
          <cell r="G866">
            <v>2272.7777777777778</v>
          </cell>
          <cell r="H866">
            <v>3000</v>
          </cell>
          <cell r="I866" t="str">
            <v>pc</v>
          </cell>
          <cell r="J866">
            <v>3000</v>
          </cell>
          <cell r="K866" t="str">
            <v>pc</v>
          </cell>
          <cell r="L866">
            <v>2600</v>
          </cell>
          <cell r="M866" t="str">
            <v>pc</v>
          </cell>
          <cell r="T866">
            <v>29500</v>
          </cell>
          <cell r="U866">
            <v>12</v>
          </cell>
          <cell r="V866" t="str">
            <v>lsn</v>
          </cell>
          <cell r="W866">
            <v>2450</v>
          </cell>
          <cell r="X866" t="str">
            <v>pc</v>
          </cell>
          <cell r="Y866">
            <v>2500</v>
          </cell>
          <cell r="Z866" t="str">
            <v>pc</v>
          </cell>
          <cell r="AA866">
            <v>85000</v>
          </cell>
          <cell r="AB866" t="str">
            <v>dos</v>
          </cell>
        </row>
        <row r="867">
          <cell r="A867" t="str">
            <v>MILO190</v>
          </cell>
          <cell r="B867" t="str">
            <v>Milo Kotak 190 ml</v>
          </cell>
          <cell r="C867">
            <v>36</v>
          </cell>
          <cell r="D867" t="str">
            <v>ktk</v>
          </cell>
          <cell r="E867">
            <v>147270</v>
          </cell>
          <cell r="F867">
            <v>49090</v>
          </cell>
          <cell r="G867">
            <v>4090.8333333333335</v>
          </cell>
          <cell r="H867">
            <v>5000</v>
          </cell>
          <cell r="I867" t="str">
            <v>pc</v>
          </cell>
          <cell r="J867">
            <v>5000</v>
          </cell>
          <cell r="K867" t="str">
            <v>pc</v>
          </cell>
          <cell r="L867">
            <v>4600</v>
          </cell>
          <cell r="M867" t="str">
            <v>pc</v>
          </cell>
          <cell r="T867">
            <v>53000</v>
          </cell>
          <cell r="U867">
            <v>12</v>
          </cell>
          <cell r="V867" t="str">
            <v>lsn</v>
          </cell>
          <cell r="W867">
            <v>4400</v>
          </cell>
          <cell r="X867" t="str">
            <v>pc</v>
          </cell>
          <cell r="Y867">
            <v>4500</v>
          </cell>
          <cell r="Z867" t="str">
            <v>pc</v>
          </cell>
          <cell r="AA867">
            <v>150000</v>
          </cell>
          <cell r="AB867" t="str">
            <v>dos</v>
          </cell>
        </row>
        <row r="868">
          <cell r="A868" t="str">
            <v>CIMORI</v>
          </cell>
          <cell r="B868" t="str">
            <v>Minuman YOGURT CIMORI</v>
          </cell>
          <cell r="C868">
            <v>5</v>
          </cell>
          <cell r="D868" t="str">
            <v>pcs</v>
          </cell>
          <cell r="E868">
            <v>9000</v>
          </cell>
          <cell r="G868">
            <v>1800</v>
          </cell>
          <cell r="H868">
            <v>2500</v>
          </cell>
          <cell r="I868" t="str">
            <v>pc</v>
          </cell>
          <cell r="J868">
            <v>2500</v>
          </cell>
          <cell r="K868" t="str">
            <v>pc</v>
          </cell>
          <cell r="L868">
            <v>2500</v>
          </cell>
          <cell r="M868" t="str">
            <v>pc</v>
          </cell>
          <cell r="Q868">
            <v>10000</v>
          </cell>
          <cell r="S868" t="str">
            <v>pak</v>
          </cell>
        </row>
        <row r="869">
          <cell r="A869" t="str">
            <v>BAJIGUR</v>
          </cell>
          <cell r="B869" t="str">
            <v>Minuman WEDANG BAJIGUR</v>
          </cell>
          <cell r="C869">
            <v>10</v>
          </cell>
          <cell r="D869" t="str">
            <v>rtg</v>
          </cell>
          <cell r="E869">
            <v>16500</v>
          </cell>
          <cell r="F869">
            <v>33000</v>
          </cell>
          <cell r="G869">
            <v>1650</v>
          </cell>
          <cell r="H869">
            <v>2000</v>
          </cell>
          <cell r="I869" t="str">
            <v>klg</v>
          </cell>
          <cell r="J869">
            <v>2000</v>
          </cell>
          <cell r="K869" t="str">
            <v>pc</v>
          </cell>
          <cell r="L869">
            <v>2000</v>
          </cell>
          <cell r="M869" t="str">
            <v>pc</v>
          </cell>
          <cell r="N869">
            <v>17500</v>
          </cell>
          <cell r="O869">
            <v>10</v>
          </cell>
          <cell r="P869" t="str">
            <v>rtg</v>
          </cell>
        </row>
        <row r="870">
          <cell r="A870" t="str">
            <v>ISOPLUS</v>
          </cell>
          <cell r="B870" t="str">
            <v>Minuman ISO PLUS</v>
          </cell>
          <cell r="C870">
            <v>12</v>
          </cell>
          <cell r="D870" t="str">
            <v>dos</v>
          </cell>
          <cell r="E870">
            <v>29000</v>
          </cell>
          <cell r="F870">
            <v>29000</v>
          </cell>
          <cell r="G870">
            <v>2416.6666666666665</v>
          </cell>
          <cell r="H870">
            <v>4000</v>
          </cell>
          <cell r="I870" t="str">
            <v>klg</v>
          </cell>
          <cell r="J870">
            <v>3500</v>
          </cell>
          <cell r="K870" t="str">
            <v>pc</v>
          </cell>
          <cell r="L870">
            <v>3000</v>
          </cell>
          <cell r="M870" t="str">
            <v>pc</v>
          </cell>
          <cell r="T870">
            <v>32000</v>
          </cell>
          <cell r="U870">
            <v>12</v>
          </cell>
          <cell r="V870" t="str">
            <v>lsn</v>
          </cell>
          <cell r="X870" t="str">
            <v>pc</v>
          </cell>
          <cell r="Z870" t="str">
            <v>pc</v>
          </cell>
          <cell r="AA870">
            <v>32000</v>
          </cell>
          <cell r="AB870" t="str">
            <v>dos</v>
          </cell>
        </row>
        <row r="871">
          <cell r="A871" t="str">
            <v>GOLDA</v>
          </cell>
          <cell r="B871" t="str">
            <v>Minuman Golda Dolce Latte 200 ml</v>
          </cell>
          <cell r="C871">
            <v>12</v>
          </cell>
          <cell r="D871" t="str">
            <v>pcs</v>
          </cell>
          <cell r="E871">
            <v>30000</v>
          </cell>
          <cell r="G871">
            <v>2500</v>
          </cell>
          <cell r="H871">
            <v>4000</v>
          </cell>
          <cell r="I871" t="str">
            <v>klg</v>
          </cell>
          <cell r="J871">
            <v>3500</v>
          </cell>
          <cell r="K871" t="str">
            <v>pc</v>
          </cell>
          <cell r="L871">
            <v>3000</v>
          </cell>
          <cell r="M871" t="str">
            <v>pc</v>
          </cell>
          <cell r="T871">
            <v>33000</v>
          </cell>
          <cell r="U871">
            <v>12</v>
          </cell>
          <cell r="V871" t="str">
            <v>lsn</v>
          </cell>
          <cell r="W871">
            <v>2700</v>
          </cell>
          <cell r="X871" t="str">
            <v>pc</v>
          </cell>
          <cell r="Y871">
            <v>2800</v>
          </cell>
          <cell r="Z871" t="str">
            <v>pc</v>
          </cell>
        </row>
        <row r="872">
          <cell r="A872" t="str">
            <v>CINGHUB</v>
          </cell>
          <cell r="B872" t="str">
            <v>Minuman Adem Sari Cinghu Botol</v>
          </cell>
          <cell r="C872">
            <v>24</v>
          </cell>
          <cell r="D872" t="str">
            <v>dos</v>
          </cell>
          <cell r="E872">
            <v>127200</v>
          </cell>
          <cell r="F872">
            <v>63600</v>
          </cell>
          <cell r="G872">
            <v>5300</v>
          </cell>
          <cell r="H872">
            <v>6000</v>
          </cell>
          <cell r="I872" t="str">
            <v>klg</v>
          </cell>
          <cell r="J872">
            <v>5800</v>
          </cell>
          <cell r="K872" t="str">
            <v>klg</v>
          </cell>
          <cell r="L872">
            <v>5700</v>
          </cell>
          <cell r="M872" t="str">
            <v>klg</v>
          </cell>
          <cell r="T872">
            <v>66000</v>
          </cell>
          <cell r="U872">
            <v>12</v>
          </cell>
          <cell r="V872" t="str">
            <v>lsn</v>
          </cell>
          <cell r="W872">
            <v>5450</v>
          </cell>
          <cell r="X872" t="str">
            <v>klg</v>
          </cell>
          <cell r="Y872">
            <v>5500</v>
          </cell>
          <cell r="Z872" t="str">
            <v>klg</v>
          </cell>
          <cell r="AA872">
            <v>130000</v>
          </cell>
          <cell r="AB872" t="str">
            <v>dos</v>
          </cell>
        </row>
        <row r="873">
          <cell r="A873" t="str">
            <v>CINGHUK</v>
          </cell>
          <cell r="B873" t="str">
            <v>Minuman Adem Sari Cinghu Kaleng</v>
          </cell>
          <cell r="C873">
            <v>24</v>
          </cell>
          <cell r="D873" t="str">
            <v>dos</v>
          </cell>
          <cell r="E873">
            <v>118800</v>
          </cell>
          <cell r="F873">
            <v>59400</v>
          </cell>
          <cell r="G873">
            <v>4950</v>
          </cell>
          <cell r="H873">
            <v>6000</v>
          </cell>
          <cell r="I873" t="str">
            <v>klg</v>
          </cell>
          <cell r="J873">
            <v>5700</v>
          </cell>
          <cell r="K873" t="str">
            <v>klg</v>
          </cell>
          <cell r="L873">
            <v>5300</v>
          </cell>
          <cell r="M873" t="str">
            <v>klg</v>
          </cell>
          <cell r="T873">
            <v>62000</v>
          </cell>
          <cell r="U873">
            <v>12</v>
          </cell>
          <cell r="V873" t="str">
            <v>lsn</v>
          </cell>
          <cell r="W873">
            <v>5100</v>
          </cell>
          <cell r="X873" t="str">
            <v>klg</v>
          </cell>
          <cell r="Y873">
            <v>5200</v>
          </cell>
          <cell r="Z873" t="str">
            <v>klg</v>
          </cell>
        </row>
        <row r="874">
          <cell r="A874" t="str">
            <v>ALE</v>
          </cell>
          <cell r="B874" t="str">
            <v>Minuman Ale-ale/Nata de happy</v>
          </cell>
          <cell r="C874">
            <v>24</v>
          </cell>
          <cell r="D874" t="str">
            <v>dos</v>
          </cell>
          <cell r="E874">
            <v>19200</v>
          </cell>
          <cell r="G874">
            <v>800</v>
          </cell>
          <cell r="H874">
            <v>1000</v>
          </cell>
          <cell r="I874" t="str">
            <v>PC</v>
          </cell>
          <cell r="J874">
            <v>1000</v>
          </cell>
          <cell r="K874" t="str">
            <v>PC</v>
          </cell>
          <cell r="L874">
            <v>1000</v>
          </cell>
          <cell r="M874" t="str">
            <v>PC</v>
          </cell>
          <cell r="AA874">
            <v>21000</v>
          </cell>
          <cell r="AB874" t="str">
            <v>dos</v>
          </cell>
        </row>
        <row r="875">
          <cell r="A875" t="str">
            <v>LEMIN330</v>
          </cell>
          <cell r="B875" t="str">
            <v>Minuman Le Mineral 330 ml</v>
          </cell>
          <cell r="C875">
            <v>24</v>
          </cell>
          <cell r="D875" t="str">
            <v>dos</v>
          </cell>
          <cell r="E875">
            <v>38000</v>
          </cell>
          <cell r="F875">
            <v>19000</v>
          </cell>
          <cell r="G875">
            <v>1583.3333333333333</v>
          </cell>
          <cell r="H875">
            <v>2000</v>
          </cell>
          <cell r="I875" t="str">
            <v>btl</v>
          </cell>
          <cell r="J875">
            <v>2000</v>
          </cell>
          <cell r="K875" t="str">
            <v>btl</v>
          </cell>
          <cell r="L875">
            <v>1900</v>
          </cell>
          <cell r="M875" t="str">
            <v>btl</v>
          </cell>
          <cell r="T875">
            <v>21000</v>
          </cell>
          <cell r="U875">
            <v>12</v>
          </cell>
          <cell r="V875" t="str">
            <v>lsn</v>
          </cell>
          <cell r="W875">
            <v>1700</v>
          </cell>
          <cell r="X875" t="str">
            <v>btl</v>
          </cell>
          <cell r="Y875">
            <v>1750</v>
          </cell>
          <cell r="Z875" t="str">
            <v>btl</v>
          </cell>
          <cell r="AA875">
            <v>42000</v>
          </cell>
          <cell r="AB875" t="str">
            <v>dos</v>
          </cell>
        </row>
        <row r="876">
          <cell r="A876" t="str">
            <v>LEMIN600</v>
          </cell>
          <cell r="B876" t="str">
            <v>Minuman Le Mineral 600 ml</v>
          </cell>
          <cell r="C876">
            <v>24</v>
          </cell>
          <cell r="D876" t="str">
            <v>dos</v>
          </cell>
          <cell r="E876">
            <v>46000</v>
          </cell>
          <cell r="F876">
            <v>23000</v>
          </cell>
          <cell r="G876">
            <v>1916.6666666666667</v>
          </cell>
          <cell r="H876">
            <v>3000</v>
          </cell>
          <cell r="I876" t="str">
            <v>btl</v>
          </cell>
          <cell r="J876">
            <v>2500</v>
          </cell>
          <cell r="K876" t="str">
            <v>btl</v>
          </cell>
          <cell r="L876">
            <v>2400</v>
          </cell>
          <cell r="M876" t="str">
            <v>btl</v>
          </cell>
          <cell r="T876">
            <v>25500</v>
          </cell>
          <cell r="U876">
            <v>12</v>
          </cell>
          <cell r="V876" t="str">
            <v>lsn</v>
          </cell>
          <cell r="W876">
            <v>2200</v>
          </cell>
          <cell r="X876" t="str">
            <v>btl</v>
          </cell>
          <cell r="Y876">
            <v>2300</v>
          </cell>
          <cell r="Z876" t="str">
            <v>btl</v>
          </cell>
          <cell r="AA876">
            <v>50000</v>
          </cell>
          <cell r="AB876" t="str">
            <v>dos</v>
          </cell>
        </row>
        <row r="877">
          <cell r="A877" t="str">
            <v>LEMIN1500</v>
          </cell>
          <cell r="B877" t="str">
            <v>Minuman Le Mineral 1500 ml</v>
          </cell>
          <cell r="C877">
            <v>12</v>
          </cell>
          <cell r="D877" t="str">
            <v>dos</v>
          </cell>
          <cell r="E877">
            <v>50000</v>
          </cell>
          <cell r="F877">
            <v>50000</v>
          </cell>
          <cell r="G877">
            <v>4166.666666666667</v>
          </cell>
          <cell r="H877">
            <v>5000</v>
          </cell>
          <cell r="I877" t="str">
            <v>btl</v>
          </cell>
          <cell r="J877">
            <v>5000</v>
          </cell>
          <cell r="K877" t="str">
            <v>btl</v>
          </cell>
          <cell r="L877">
            <v>4800</v>
          </cell>
          <cell r="M877" t="str">
            <v>btl</v>
          </cell>
          <cell r="T877">
            <v>53000</v>
          </cell>
          <cell r="U877">
            <v>12</v>
          </cell>
          <cell r="V877" t="str">
            <v>lsn</v>
          </cell>
          <cell r="W877">
            <v>4400</v>
          </cell>
          <cell r="X877" t="str">
            <v>btl</v>
          </cell>
          <cell r="Y877">
            <v>4500</v>
          </cell>
          <cell r="Z877" t="str">
            <v>btl</v>
          </cell>
          <cell r="AA877">
            <v>55000</v>
          </cell>
          <cell r="AB877" t="str">
            <v>dos</v>
          </cell>
        </row>
        <row r="878">
          <cell r="A878" t="str">
            <v>CRIS1500</v>
          </cell>
          <cell r="B878" t="str">
            <v>Minuman CRISTALINE 1500 ml</v>
          </cell>
          <cell r="C878">
            <v>12</v>
          </cell>
          <cell r="D878" t="str">
            <v>dos</v>
          </cell>
          <cell r="E878">
            <v>51000</v>
          </cell>
          <cell r="G878">
            <v>4250</v>
          </cell>
          <cell r="H878">
            <v>5000</v>
          </cell>
          <cell r="I878" t="str">
            <v>btl</v>
          </cell>
          <cell r="J878">
            <v>5000</v>
          </cell>
          <cell r="K878" t="str">
            <v>btl</v>
          </cell>
          <cell r="L878">
            <v>4900</v>
          </cell>
          <cell r="M878" t="str">
            <v>btl</v>
          </cell>
          <cell r="U878">
            <v>12</v>
          </cell>
          <cell r="V878" t="str">
            <v>lsn</v>
          </cell>
          <cell r="X878" t="str">
            <v>btl</v>
          </cell>
          <cell r="Y878">
            <v>4600</v>
          </cell>
          <cell r="Z878" t="str">
            <v>btl</v>
          </cell>
          <cell r="AA878">
            <v>55000</v>
          </cell>
          <cell r="AB878" t="str">
            <v>dos</v>
          </cell>
        </row>
        <row r="879">
          <cell r="A879" t="str">
            <v>CRIS600</v>
          </cell>
          <cell r="B879" t="str">
            <v>Minuman CRISTALINE 600 ml</v>
          </cell>
          <cell r="C879">
            <v>24</v>
          </cell>
          <cell r="D879" t="str">
            <v>dos</v>
          </cell>
          <cell r="E879">
            <v>45000</v>
          </cell>
          <cell r="F879">
            <v>22500</v>
          </cell>
          <cell r="G879">
            <v>1875</v>
          </cell>
          <cell r="H879">
            <v>3000</v>
          </cell>
          <cell r="I879" t="str">
            <v>btl</v>
          </cell>
          <cell r="J879">
            <v>3000</v>
          </cell>
          <cell r="K879" t="str">
            <v>btl</v>
          </cell>
          <cell r="L879">
            <v>2500</v>
          </cell>
          <cell r="M879" t="str">
            <v>btl</v>
          </cell>
          <cell r="U879">
            <v>12</v>
          </cell>
          <cell r="V879" t="str">
            <v>lsn</v>
          </cell>
          <cell r="X879" t="str">
            <v>btl</v>
          </cell>
          <cell r="Y879">
            <v>0</v>
          </cell>
          <cell r="Z879" t="str">
            <v>btl</v>
          </cell>
          <cell r="AA879">
            <v>49000</v>
          </cell>
          <cell r="AB879" t="str">
            <v>dos</v>
          </cell>
        </row>
        <row r="880">
          <cell r="A880" t="str">
            <v>AQ1500</v>
          </cell>
          <cell r="B880" t="str">
            <v>Minuman Aqua Besar 1500 ml</v>
          </cell>
          <cell r="C880">
            <v>12</v>
          </cell>
          <cell r="D880" t="str">
            <v>dos</v>
          </cell>
          <cell r="E880">
            <v>52000</v>
          </cell>
          <cell r="F880">
            <v>54000</v>
          </cell>
          <cell r="G880">
            <v>4333.333333333333</v>
          </cell>
          <cell r="H880">
            <v>5000</v>
          </cell>
          <cell r="I880" t="str">
            <v>btl</v>
          </cell>
          <cell r="J880">
            <v>5000</v>
          </cell>
          <cell r="K880" t="str">
            <v>btl</v>
          </cell>
          <cell r="L880">
            <v>5000</v>
          </cell>
          <cell r="M880" t="str">
            <v>btl</v>
          </cell>
          <cell r="U880">
            <v>12</v>
          </cell>
          <cell r="V880" t="str">
            <v>lsn</v>
          </cell>
          <cell r="X880" t="str">
            <v>btl</v>
          </cell>
          <cell r="Y880">
            <v>0</v>
          </cell>
          <cell r="Z880" t="str">
            <v>btl</v>
          </cell>
          <cell r="AA880">
            <v>57000</v>
          </cell>
          <cell r="AB880" t="str">
            <v>dos</v>
          </cell>
        </row>
        <row r="881">
          <cell r="A881" t="str">
            <v>AQ330</v>
          </cell>
          <cell r="B881" t="str">
            <v>Minuman Aqua Botol Mini 330 ml</v>
          </cell>
          <cell r="C881">
            <v>24</v>
          </cell>
          <cell r="D881" t="str">
            <v>dos</v>
          </cell>
          <cell r="E881">
            <v>40000</v>
          </cell>
          <cell r="F881">
            <v>20000</v>
          </cell>
          <cell r="G881">
            <v>1666.6666666666667</v>
          </cell>
          <cell r="H881">
            <v>2000</v>
          </cell>
          <cell r="I881" t="str">
            <v>btl</v>
          </cell>
          <cell r="T881">
            <v>22500</v>
          </cell>
          <cell r="U881">
            <v>12</v>
          </cell>
          <cell r="V881" t="str">
            <v>lsn</v>
          </cell>
          <cell r="Y881">
            <v>1875</v>
          </cell>
          <cell r="Z881" t="str">
            <v>btl</v>
          </cell>
          <cell r="AA881">
            <v>43000</v>
          </cell>
          <cell r="AB881" t="str">
            <v>dos</v>
          </cell>
        </row>
        <row r="882">
          <cell r="A882" t="str">
            <v>AQ600</v>
          </cell>
          <cell r="B882" t="str">
            <v>Minuman Aqua Botol T 600 ml</v>
          </cell>
          <cell r="C882">
            <v>24</v>
          </cell>
          <cell r="D882" t="str">
            <v>dos</v>
          </cell>
          <cell r="E882">
            <v>47000</v>
          </cell>
          <cell r="F882">
            <v>23500</v>
          </cell>
          <cell r="G882">
            <v>1958.3333333333333</v>
          </cell>
          <cell r="H882">
            <v>3000</v>
          </cell>
          <cell r="I882" t="str">
            <v>btl</v>
          </cell>
          <cell r="J882">
            <v>3000</v>
          </cell>
          <cell r="K882" t="str">
            <v>btl</v>
          </cell>
          <cell r="L882">
            <v>2500</v>
          </cell>
          <cell r="M882" t="str">
            <v>btl</v>
          </cell>
          <cell r="T882">
            <v>28000</v>
          </cell>
          <cell r="U882">
            <v>12</v>
          </cell>
          <cell r="V882" t="str">
            <v>lsn</v>
          </cell>
          <cell r="W882">
            <v>2300</v>
          </cell>
          <cell r="X882" t="str">
            <v>btl</v>
          </cell>
          <cell r="Y882">
            <v>2400</v>
          </cell>
          <cell r="Z882" t="str">
            <v>btl</v>
          </cell>
          <cell r="AA882">
            <v>53000</v>
          </cell>
          <cell r="AB882" t="str">
            <v>dos</v>
          </cell>
        </row>
        <row r="883">
          <cell r="A883" t="str">
            <v>AQG</v>
          </cell>
          <cell r="B883" t="str">
            <v>Minuman Aqua Gelas</v>
          </cell>
          <cell r="C883">
            <v>1</v>
          </cell>
          <cell r="D883" t="str">
            <v>dos</v>
          </cell>
          <cell r="E883">
            <v>30000</v>
          </cell>
          <cell r="G883">
            <v>30000</v>
          </cell>
          <cell r="AA883">
            <v>32000</v>
          </cell>
          <cell r="AB883" t="str">
            <v>dos</v>
          </cell>
        </row>
        <row r="884">
          <cell r="A884" t="str">
            <v>BIGCOLAT</v>
          </cell>
          <cell r="B884" t="str">
            <v>Minuman Big Cola B 1.5 ltr</v>
          </cell>
          <cell r="C884">
            <v>6</v>
          </cell>
          <cell r="D884" t="str">
            <v>dos</v>
          </cell>
          <cell r="E884">
            <v>49000</v>
          </cell>
          <cell r="G884">
            <v>8166.666666666667</v>
          </cell>
        </row>
        <row r="885">
          <cell r="A885" t="str">
            <v>BIGCOLAB</v>
          </cell>
          <cell r="B885" t="str">
            <v>Minuman Big Cola B 3.1 ltr</v>
          </cell>
          <cell r="C885">
            <v>6</v>
          </cell>
          <cell r="D885" t="str">
            <v>dos</v>
          </cell>
          <cell r="E885">
            <v>90000</v>
          </cell>
          <cell r="F885">
            <v>540000</v>
          </cell>
          <cell r="G885">
            <v>15000</v>
          </cell>
          <cell r="H885">
            <v>16500</v>
          </cell>
          <cell r="I885" t="str">
            <v>btl</v>
          </cell>
          <cell r="J885">
            <v>16500</v>
          </cell>
          <cell r="K885" t="str">
            <v>btl</v>
          </cell>
          <cell r="L885">
            <v>16000</v>
          </cell>
          <cell r="M885" t="str">
            <v>btl</v>
          </cell>
          <cell r="W885">
            <v>15500</v>
          </cell>
          <cell r="X885" t="str">
            <v>btl</v>
          </cell>
          <cell r="Y885">
            <v>15700</v>
          </cell>
          <cell r="Z885" t="str">
            <v>btl</v>
          </cell>
        </row>
        <row r="886">
          <cell r="A886" t="str">
            <v>BIGCOLAK</v>
          </cell>
          <cell r="B886" t="str">
            <v>Minuman Big Cola B 535 ml</v>
          </cell>
          <cell r="C886">
            <v>12</v>
          </cell>
          <cell r="D886" t="str">
            <v>dos</v>
          </cell>
          <cell r="E886">
            <v>43000</v>
          </cell>
          <cell r="G886">
            <v>3583.3333333333335</v>
          </cell>
          <cell r="H886">
            <v>5000</v>
          </cell>
          <cell r="I886" t="str">
            <v>btl</v>
          </cell>
          <cell r="J886">
            <v>4500</v>
          </cell>
          <cell r="K886" t="str">
            <v>btl</v>
          </cell>
          <cell r="L886">
            <v>4000</v>
          </cell>
          <cell r="M886" t="str">
            <v>btl</v>
          </cell>
          <cell r="T886">
            <v>47000</v>
          </cell>
          <cell r="U886">
            <v>12</v>
          </cell>
          <cell r="V886" t="str">
            <v>lsn</v>
          </cell>
          <cell r="W886">
            <v>3900</v>
          </cell>
          <cell r="X886" t="str">
            <v>btl</v>
          </cell>
          <cell r="Y886">
            <v>3916.6666666666665</v>
          </cell>
          <cell r="Z886" t="str">
            <v>btl</v>
          </cell>
          <cell r="AA886">
            <v>47000</v>
          </cell>
          <cell r="AB886" t="str">
            <v>dos</v>
          </cell>
        </row>
        <row r="887">
          <cell r="A887" t="str">
            <v>BUAVITAB</v>
          </cell>
          <cell r="B887" t="str">
            <v>Minuman Buavita 250 ml</v>
          </cell>
          <cell r="C887">
            <v>24</v>
          </cell>
          <cell r="D887" t="str">
            <v>dos</v>
          </cell>
          <cell r="E887">
            <v>143000</v>
          </cell>
          <cell r="F887">
            <v>71500</v>
          </cell>
          <cell r="G887">
            <v>5958.333333333333</v>
          </cell>
          <cell r="H887">
            <v>7500</v>
          </cell>
          <cell r="I887" t="str">
            <v>pc</v>
          </cell>
          <cell r="J887">
            <v>7500</v>
          </cell>
          <cell r="K887" t="str">
            <v>pc</v>
          </cell>
          <cell r="L887">
            <v>6500</v>
          </cell>
          <cell r="M887" t="str">
            <v>pc</v>
          </cell>
          <cell r="T887">
            <v>74500</v>
          </cell>
          <cell r="U887">
            <v>12</v>
          </cell>
          <cell r="V887" t="str">
            <v>lsn</v>
          </cell>
          <cell r="W887">
            <v>6200</v>
          </cell>
          <cell r="X887" t="str">
            <v>pc</v>
          </cell>
          <cell r="Y887">
            <v>6300</v>
          </cell>
          <cell r="Z887" t="str">
            <v>pc</v>
          </cell>
          <cell r="AA887">
            <v>147000</v>
          </cell>
          <cell r="AB887" t="str">
            <v>dos</v>
          </cell>
        </row>
        <row r="888">
          <cell r="A888" t="str">
            <v>ABC250</v>
          </cell>
          <cell r="B888" t="str">
            <v>Minuman JUSS ABC 250 ml</v>
          </cell>
          <cell r="C888">
            <v>24</v>
          </cell>
          <cell r="D888" t="str">
            <v>dos</v>
          </cell>
          <cell r="E888">
            <v>122000</v>
          </cell>
          <cell r="F888">
            <v>61000</v>
          </cell>
          <cell r="G888">
            <v>5083.333333333333</v>
          </cell>
          <cell r="H888">
            <v>6000</v>
          </cell>
          <cell r="I888" t="str">
            <v>pc</v>
          </cell>
          <cell r="J888">
            <v>6000</v>
          </cell>
          <cell r="K888" t="str">
            <v>pc</v>
          </cell>
          <cell r="L888">
            <v>5500</v>
          </cell>
          <cell r="M888" t="str">
            <v>pc</v>
          </cell>
        </row>
        <row r="889">
          <cell r="A889" t="str">
            <v>ABC1000</v>
          </cell>
          <cell r="B889" t="str">
            <v>Minuman JUSS ABC 1000 ml</v>
          </cell>
          <cell r="C889">
            <v>24</v>
          </cell>
          <cell r="D889" t="str">
            <v>dos</v>
          </cell>
          <cell r="E889">
            <v>414480</v>
          </cell>
          <cell r="G889">
            <v>17270</v>
          </cell>
          <cell r="H889">
            <v>20000</v>
          </cell>
          <cell r="I889" t="str">
            <v>pc</v>
          </cell>
          <cell r="J889">
            <v>19500</v>
          </cell>
          <cell r="K889" t="str">
            <v>pc</v>
          </cell>
        </row>
        <row r="890">
          <cell r="A890" t="str">
            <v>C1000</v>
          </cell>
          <cell r="B890" t="str">
            <v>Minuman C 1000  BOTOL KACA</v>
          </cell>
          <cell r="C890">
            <v>30</v>
          </cell>
          <cell r="D890" t="str">
            <v>pcs</v>
          </cell>
          <cell r="E890">
            <v>160000</v>
          </cell>
          <cell r="F890">
            <v>64000</v>
          </cell>
          <cell r="G890">
            <v>5333.333333333333</v>
          </cell>
          <cell r="H890">
            <v>6500</v>
          </cell>
          <cell r="I890" t="str">
            <v>btl</v>
          </cell>
          <cell r="J890">
            <v>6300</v>
          </cell>
          <cell r="K890" t="str">
            <v>btl</v>
          </cell>
          <cell r="L890">
            <v>5900</v>
          </cell>
          <cell r="M890" t="str">
            <v>btl</v>
          </cell>
          <cell r="T890">
            <v>67000</v>
          </cell>
          <cell r="U890">
            <v>12</v>
          </cell>
          <cell r="V890" t="str">
            <v>lsn</v>
          </cell>
          <cell r="W890">
            <v>5500</v>
          </cell>
          <cell r="X890" t="str">
            <v>btl</v>
          </cell>
          <cell r="Y890">
            <v>5600</v>
          </cell>
          <cell r="Z890" t="str">
            <v>btl</v>
          </cell>
        </row>
        <row r="891">
          <cell r="A891" t="str">
            <v>WATER</v>
          </cell>
          <cell r="B891" t="str">
            <v>Minuman C 1000 Water Btl B</v>
          </cell>
          <cell r="C891">
            <v>24</v>
          </cell>
          <cell r="D891" t="str">
            <v>pcs</v>
          </cell>
          <cell r="E891">
            <v>134000</v>
          </cell>
          <cell r="F891">
            <v>67000</v>
          </cell>
          <cell r="G891">
            <v>5583.333333333333</v>
          </cell>
          <cell r="H891">
            <v>6500</v>
          </cell>
          <cell r="I891" t="str">
            <v>btl</v>
          </cell>
          <cell r="J891">
            <v>6100</v>
          </cell>
          <cell r="K891" t="str">
            <v>btl</v>
          </cell>
          <cell r="L891">
            <v>5900</v>
          </cell>
          <cell r="M891" t="str">
            <v>btl</v>
          </cell>
          <cell r="T891">
            <v>69500</v>
          </cell>
          <cell r="U891">
            <v>12</v>
          </cell>
          <cell r="V891" t="str">
            <v>lsn</v>
          </cell>
          <cell r="W891">
            <v>5700</v>
          </cell>
          <cell r="X891" t="str">
            <v>btl</v>
          </cell>
          <cell r="Y891">
            <v>5791.666666666667</v>
          </cell>
          <cell r="Z891" t="str">
            <v>btl</v>
          </cell>
          <cell r="AA891">
            <v>136500</v>
          </cell>
          <cell r="AB891" t="str">
            <v>dos</v>
          </cell>
        </row>
        <row r="892">
          <cell r="A892" t="str">
            <v>CINCAUN</v>
          </cell>
          <cell r="B892" t="str">
            <v>Minuman Cincau Naraya</v>
          </cell>
          <cell r="C892">
            <v>24</v>
          </cell>
          <cell r="D892" t="str">
            <v>dos</v>
          </cell>
          <cell r="E892">
            <v>95000</v>
          </cell>
          <cell r="F892">
            <v>47500</v>
          </cell>
          <cell r="G892">
            <v>3958.3333333333335</v>
          </cell>
        </row>
        <row r="893">
          <cell r="A893" t="str">
            <v>CINCAUG</v>
          </cell>
          <cell r="B893" t="str">
            <v>Minuman Cincau Gelas</v>
          </cell>
          <cell r="C893">
            <v>24</v>
          </cell>
          <cell r="D893" t="str">
            <v>dos</v>
          </cell>
          <cell r="E893">
            <v>21000</v>
          </cell>
          <cell r="G893">
            <v>875</v>
          </cell>
          <cell r="AA893">
            <v>23000</v>
          </cell>
          <cell r="AB893" t="str">
            <v>dos</v>
          </cell>
        </row>
        <row r="894">
          <cell r="A894" t="str">
            <v>CINCAUY</v>
          </cell>
          <cell r="B894" t="str">
            <v>Minuman Cincau Yeos</v>
          </cell>
          <cell r="C894">
            <v>24</v>
          </cell>
          <cell r="D894" t="str">
            <v>dos</v>
          </cell>
          <cell r="E894">
            <v>97000</v>
          </cell>
          <cell r="F894">
            <v>48500</v>
          </cell>
          <cell r="G894">
            <v>4041.6666666666665</v>
          </cell>
          <cell r="H894">
            <v>5000</v>
          </cell>
          <cell r="I894" t="str">
            <v>klg</v>
          </cell>
          <cell r="J894">
            <v>4500</v>
          </cell>
          <cell r="K894" t="str">
            <v>klg</v>
          </cell>
          <cell r="L894">
            <v>4300</v>
          </cell>
          <cell r="M894" t="str">
            <v>klg</v>
          </cell>
          <cell r="T894">
            <v>51000</v>
          </cell>
          <cell r="U894">
            <v>12</v>
          </cell>
          <cell r="V894" t="str">
            <v>lsn</v>
          </cell>
          <cell r="W894">
            <v>4200</v>
          </cell>
          <cell r="X894" t="str">
            <v>klg</v>
          </cell>
          <cell r="Y894">
            <v>4250</v>
          </cell>
          <cell r="Z894" t="str">
            <v>klg</v>
          </cell>
          <cell r="AA894">
            <v>99500</v>
          </cell>
          <cell r="AB894" t="str">
            <v>dos</v>
          </cell>
        </row>
        <row r="895">
          <cell r="A895" t="str">
            <v>CLEVO115</v>
          </cell>
          <cell r="B895" t="str">
            <v>Minuman CLEVO UHT 115 ML KOTAK</v>
          </cell>
          <cell r="C895">
            <v>30</v>
          </cell>
          <cell r="D895" t="str">
            <v>dos</v>
          </cell>
          <cell r="E895">
            <v>59000</v>
          </cell>
          <cell r="F895">
            <v>23600</v>
          </cell>
          <cell r="G895">
            <v>1966.6666666666667</v>
          </cell>
          <cell r="H895">
            <v>3000</v>
          </cell>
          <cell r="I895" t="str">
            <v>pc</v>
          </cell>
          <cell r="J895">
            <v>3000</v>
          </cell>
          <cell r="K895" t="str">
            <v>pc</v>
          </cell>
          <cell r="L895">
            <v>2400</v>
          </cell>
          <cell r="M895" t="str">
            <v>pc</v>
          </cell>
          <cell r="T895">
            <v>26000</v>
          </cell>
          <cell r="U895">
            <v>12</v>
          </cell>
          <cell r="V895" t="str">
            <v>lsn</v>
          </cell>
          <cell r="W895">
            <v>2200</v>
          </cell>
          <cell r="X895" t="str">
            <v>pc</v>
          </cell>
          <cell r="Y895">
            <v>2300</v>
          </cell>
          <cell r="Z895" t="str">
            <v>pc</v>
          </cell>
          <cell r="AA895">
            <v>64000</v>
          </cell>
          <cell r="AB895" t="str">
            <v>dos</v>
          </cell>
        </row>
        <row r="896">
          <cell r="A896" t="str">
            <v>CLEVO200</v>
          </cell>
          <cell r="B896" t="str">
            <v>Minuman CLEVO UHT 200 ML KOTAK</v>
          </cell>
          <cell r="C896">
            <v>24</v>
          </cell>
          <cell r="D896" t="str">
            <v>dos</v>
          </cell>
          <cell r="E896">
            <v>91199.9</v>
          </cell>
          <cell r="F896">
            <v>45599.95</v>
          </cell>
          <cell r="G896">
            <v>3799.9958333333329</v>
          </cell>
          <cell r="H896">
            <v>5000</v>
          </cell>
          <cell r="I896" t="str">
            <v>pc</v>
          </cell>
          <cell r="J896">
            <v>4700</v>
          </cell>
          <cell r="K896" t="str">
            <v>pc</v>
          </cell>
          <cell r="L896">
            <v>4200</v>
          </cell>
          <cell r="M896" t="str">
            <v>pc</v>
          </cell>
          <cell r="T896">
            <v>48000</v>
          </cell>
          <cell r="U896">
            <v>12</v>
          </cell>
          <cell r="V896" t="str">
            <v>lsn</v>
          </cell>
          <cell r="W896">
            <v>3900</v>
          </cell>
          <cell r="X896" t="str">
            <v>pc</v>
          </cell>
          <cell r="Y896">
            <v>4000</v>
          </cell>
          <cell r="Z896" t="str">
            <v>pc</v>
          </cell>
          <cell r="AA896">
            <v>95000</v>
          </cell>
          <cell r="AB896" t="str">
            <v>dos</v>
          </cell>
        </row>
        <row r="897">
          <cell r="A897" t="str">
            <v>ENERGEN</v>
          </cell>
          <cell r="B897" t="str">
            <v>Minuman Energen Coklat &amp; K. Hijau</v>
          </cell>
          <cell r="C897">
            <v>10</v>
          </cell>
          <cell r="D897" t="str">
            <v>rtg</v>
          </cell>
          <cell r="E897">
            <v>11218.762500000001</v>
          </cell>
          <cell r="F897">
            <v>179500.2</v>
          </cell>
          <cell r="G897">
            <v>1121.87625</v>
          </cell>
          <cell r="N897">
            <v>13000</v>
          </cell>
          <cell r="O897">
            <v>10</v>
          </cell>
          <cell r="P897" t="str">
            <v>rtg</v>
          </cell>
          <cell r="Y897">
            <v>1300</v>
          </cell>
          <cell r="Z897" t="str">
            <v>pc</v>
          </cell>
          <cell r="AA897">
            <v>172000</v>
          </cell>
          <cell r="AB897" t="str">
            <v>dos</v>
          </cell>
        </row>
        <row r="898">
          <cell r="A898" t="str">
            <v>PRIMA</v>
          </cell>
          <cell r="B898" t="str">
            <v>Minuman PRIMA RENTENG</v>
          </cell>
          <cell r="C898">
            <v>10</v>
          </cell>
          <cell r="D898" t="str">
            <v>rtg</v>
          </cell>
          <cell r="E898">
            <v>7500</v>
          </cell>
          <cell r="F898">
            <v>88750.2</v>
          </cell>
          <cell r="G898">
            <v>750</v>
          </cell>
          <cell r="N898">
            <v>8500</v>
          </cell>
          <cell r="O898">
            <v>10</v>
          </cell>
          <cell r="P898" t="str">
            <v>rtg</v>
          </cell>
        </row>
        <row r="899">
          <cell r="A899" t="str">
            <v>EXTRA</v>
          </cell>
          <cell r="B899" t="str">
            <v>Minuman Extrajos</v>
          </cell>
          <cell r="C899">
            <v>12</v>
          </cell>
          <cell r="D899" t="str">
            <v>pcs</v>
          </cell>
          <cell r="E899">
            <v>10300</v>
          </cell>
          <cell r="F899">
            <v>51500</v>
          </cell>
          <cell r="G899">
            <v>858.33333333333337</v>
          </cell>
          <cell r="H899">
            <v>11000</v>
          </cell>
          <cell r="I899" t="str">
            <v>ktk</v>
          </cell>
          <cell r="J899">
            <v>11000</v>
          </cell>
          <cell r="L899">
            <v>11000</v>
          </cell>
          <cell r="M899" t="str">
            <v>pc</v>
          </cell>
          <cell r="Q899">
            <v>53000</v>
          </cell>
          <cell r="R899">
            <v>5</v>
          </cell>
          <cell r="S899" t="str">
            <v>pak</v>
          </cell>
          <cell r="X899" t="str">
            <v>ktk</v>
          </cell>
        </row>
        <row r="900">
          <cell r="A900" t="str">
            <v>FANTA1500</v>
          </cell>
          <cell r="B900" t="str">
            <v>Minuman Fanta ,Cola 1500 ml</v>
          </cell>
          <cell r="C900">
            <v>12</v>
          </cell>
          <cell r="D900" t="str">
            <v>dos</v>
          </cell>
          <cell r="E900">
            <v>130800</v>
          </cell>
          <cell r="F900">
            <v>130800</v>
          </cell>
          <cell r="G900">
            <v>10900</v>
          </cell>
          <cell r="H900">
            <v>12000</v>
          </cell>
          <cell r="I900" t="str">
            <v>btl</v>
          </cell>
          <cell r="J900">
            <v>12000</v>
          </cell>
          <cell r="K900" t="str">
            <v>btl</v>
          </cell>
        </row>
        <row r="901">
          <cell r="A901" t="str">
            <v>FANTA250k</v>
          </cell>
          <cell r="B901" t="str">
            <v>Minuman Fanta ,Cola Klg Slim 250 ml</v>
          </cell>
          <cell r="C901">
            <v>24</v>
          </cell>
          <cell r="D901" t="str">
            <v>dos</v>
          </cell>
          <cell r="E901">
            <v>95000</v>
          </cell>
          <cell r="F901">
            <v>47500</v>
          </cell>
          <cell r="G901">
            <v>3958.3333333333335</v>
          </cell>
          <cell r="H901">
            <v>5000</v>
          </cell>
          <cell r="I901" t="str">
            <v>klg</v>
          </cell>
          <cell r="J901">
            <v>4700</v>
          </cell>
          <cell r="K901" t="str">
            <v>klg</v>
          </cell>
          <cell r="L901">
            <v>4500</v>
          </cell>
          <cell r="M901" t="str">
            <v>klg</v>
          </cell>
          <cell r="T901">
            <v>50000</v>
          </cell>
          <cell r="U901">
            <v>12</v>
          </cell>
          <cell r="V901" t="str">
            <v>lsn</v>
          </cell>
          <cell r="W901">
            <v>4100</v>
          </cell>
          <cell r="X901" t="str">
            <v>klg</v>
          </cell>
          <cell r="Y901">
            <v>4200</v>
          </cell>
          <cell r="Z901" t="str">
            <v>klg</v>
          </cell>
          <cell r="AA901">
            <v>97000</v>
          </cell>
          <cell r="AB901" t="str">
            <v>dos</v>
          </cell>
        </row>
        <row r="902">
          <cell r="A902" t="str">
            <v>FANTA250b</v>
          </cell>
          <cell r="B902" t="str">
            <v>Minuman Fanta ,Cola Klg Slim 250 ml</v>
          </cell>
          <cell r="C902">
            <v>24</v>
          </cell>
          <cell r="D902" t="str">
            <v>dos</v>
          </cell>
          <cell r="E902">
            <v>91000</v>
          </cell>
          <cell r="F902">
            <v>45500</v>
          </cell>
          <cell r="G902">
            <v>3791.6666666666665</v>
          </cell>
          <cell r="H902">
            <v>5000</v>
          </cell>
          <cell r="I902" t="str">
            <v>klg</v>
          </cell>
          <cell r="J902">
            <v>4500</v>
          </cell>
          <cell r="K902" t="str">
            <v>klg</v>
          </cell>
          <cell r="L902">
            <v>4200</v>
          </cell>
          <cell r="M902" t="str">
            <v>klg</v>
          </cell>
          <cell r="T902">
            <v>47500</v>
          </cell>
          <cell r="U902">
            <v>12</v>
          </cell>
          <cell r="V902" t="str">
            <v>lsn</v>
          </cell>
          <cell r="W902">
            <v>3900</v>
          </cell>
          <cell r="X902" t="str">
            <v>klg</v>
          </cell>
          <cell r="Y902">
            <v>3958.3333333333335</v>
          </cell>
          <cell r="Z902" t="str">
            <v>klg</v>
          </cell>
          <cell r="AA902">
            <v>94000</v>
          </cell>
          <cell r="AB902" t="str">
            <v>dos</v>
          </cell>
        </row>
        <row r="903">
          <cell r="A903" t="str">
            <v>FANTA1</v>
          </cell>
          <cell r="B903" t="str">
            <v>Minuman Fanta ,Cola, Sprite btl 1 ltr</v>
          </cell>
          <cell r="C903">
            <v>12</v>
          </cell>
          <cell r="D903" t="str">
            <v>dos</v>
          </cell>
          <cell r="E903">
            <v>110000</v>
          </cell>
          <cell r="G903">
            <v>9166.6666666666661</v>
          </cell>
          <cell r="H903">
            <v>9500</v>
          </cell>
          <cell r="I903" t="str">
            <v>btl</v>
          </cell>
          <cell r="J903">
            <v>9500</v>
          </cell>
          <cell r="K903" t="str">
            <v>btl</v>
          </cell>
          <cell r="L903">
            <v>9500</v>
          </cell>
          <cell r="M903" t="str">
            <v>btl</v>
          </cell>
          <cell r="W903">
            <v>8400</v>
          </cell>
          <cell r="X903" t="str">
            <v>btl</v>
          </cell>
          <cell r="Y903">
            <v>8600</v>
          </cell>
          <cell r="Z903" t="str">
            <v>btl</v>
          </cell>
          <cell r="AA903">
            <v>98500</v>
          </cell>
          <cell r="AB903" t="str">
            <v>dos</v>
          </cell>
        </row>
        <row r="904">
          <cell r="A904" t="str">
            <v>FANTA390</v>
          </cell>
          <cell r="B904" t="str">
            <v>Minuman Fanta ,Cola, Sprite btl 390 ml isi 24</v>
          </cell>
          <cell r="C904">
            <v>12</v>
          </cell>
          <cell r="D904" t="str">
            <v>dos</v>
          </cell>
          <cell r="E904">
            <v>48000</v>
          </cell>
          <cell r="F904">
            <v>48000</v>
          </cell>
          <cell r="G904">
            <v>4000</v>
          </cell>
          <cell r="H904">
            <v>5000</v>
          </cell>
          <cell r="I904" t="str">
            <v>btl</v>
          </cell>
          <cell r="J904">
            <v>4500</v>
          </cell>
          <cell r="K904" t="str">
            <v>btl</v>
          </cell>
          <cell r="L904">
            <v>4500</v>
          </cell>
          <cell r="M904" t="str">
            <v>btl</v>
          </cell>
          <cell r="T904">
            <v>51000</v>
          </cell>
          <cell r="U904">
            <v>12</v>
          </cell>
          <cell r="V904" t="str">
            <v>lsn</v>
          </cell>
          <cell r="Y904">
            <v>4300</v>
          </cell>
          <cell r="Z904" t="str">
            <v>btl</v>
          </cell>
          <cell r="AA904">
            <v>51000</v>
          </cell>
          <cell r="AB904" t="str">
            <v>dos</v>
          </cell>
        </row>
        <row r="905">
          <cell r="A905" t="str">
            <v>HYDRO</v>
          </cell>
          <cell r="B905" t="str">
            <v>Minuman Fatigon Hydro 250 ml</v>
          </cell>
          <cell r="C905">
            <v>24</v>
          </cell>
          <cell r="D905" t="str">
            <v>dos</v>
          </cell>
          <cell r="E905">
            <v>107000</v>
          </cell>
          <cell r="F905">
            <v>53500</v>
          </cell>
          <cell r="G905">
            <v>4458.333333333333</v>
          </cell>
          <cell r="H905">
            <v>5500</v>
          </cell>
          <cell r="I905" t="str">
            <v>pc</v>
          </cell>
          <cell r="J905">
            <v>5000</v>
          </cell>
          <cell r="K905" t="str">
            <v>pc</v>
          </cell>
          <cell r="L905">
            <v>4700</v>
          </cell>
          <cell r="M905" t="str">
            <v>pc</v>
          </cell>
          <cell r="T905">
            <v>56000</v>
          </cell>
          <cell r="U905">
            <v>12</v>
          </cell>
          <cell r="V905" t="str">
            <v>lsn</v>
          </cell>
          <cell r="W905">
            <v>4600</v>
          </cell>
          <cell r="X905" t="str">
            <v>pc</v>
          </cell>
          <cell r="Y905">
            <v>4666.666666666667</v>
          </cell>
          <cell r="Z905" t="str">
            <v>pc</v>
          </cell>
          <cell r="AA905">
            <v>110000</v>
          </cell>
          <cell r="AB905" t="str">
            <v>dos</v>
          </cell>
        </row>
        <row r="906">
          <cell r="A906" t="str">
            <v>bst</v>
          </cell>
          <cell r="B906" t="str">
            <v>Minuman BST</v>
          </cell>
          <cell r="C906">
            <v>48</v>
          </cell>
          <cell r="D906" t="str">
            <v>dos</v>
          </cell>
          <cell r="E906">
            <v>18000</v>
          </cell>
          <cell r="F906">
            <v>18000</v>
          </cell>
          <cell r="G906">
            <v>375</v>
          </cell>
          <cell r="T906">
            <v>20000</v>
          </cell>
          <cell r="AA906">
            <v>20000</v>
          </cell>
          <cell r="AB906" t="str">
            <v>dos</v>
          </cell>
        </row>
        <row r="907">
          <cell r="A907" t="str">
            <v>festa</v>
          </cell>
          <cell r="B907" t="str">
            <v>Minuman Festa</v>
          </cell>
          <cell r="C907">
            <v>48</v>
          </cell>
          <cell r="D907" t="str">
            <v>dos</v>
          </cell>
          <cell r="E907">
            <v>21500</v>
          </cell>
          <cell r="F907">
            <v>5375</v>
          </cell>
          <cell r="G907">
            <v>447.91666666666669</v>
          </cell>
          <cell r="AA907">
            <v>23000</v>
          </cell>
          <cell r="AB907" t="str">
            <v>dos</v>
          </cell>
        </row>
        <row r="908">
          <cell r="A908" t="str">
            <v>MOGU</v>
          </cell>
          <cell r="B908" t="str">
            <v>Minuman MOGU - MOGU</v>
          </cell>
          <cell r="C908">
            <v>24</v>
          </cell>
          <cell r="D908" t="str">
            <v>dos</v>
          </cell>
          <cell r="E908">
            <v>153000</v>
          </cell>
          <cell r="F908">
            <v>76500</v>
          </cell>
          <cell r="G908">
            <v>6375</v>
          </cell>
          <cell r="H908">
            <v>7500</v>
          </cell>
          <cell r="I908" t="str">
            <v>btl</v>
          </cell>
          <cell r="J908">
            <v>7000</v>
          </cell>
          <cell r="K908" t="str">
            <v>btl</v>
          </cell>
          <cell r="L908">
            <v>6800</v>
          </cell>
          <cell r="M908" t="str">
            <v>btl</v>
          </cell>
          <cell r="T908">
            <v>79500</v>
          </cell>
          <cell r="U908">
            <v>12</v>
          </cell>
          <cell r="V908" t="str">
            <v>lsn</v>
          </cell>
          <cell r="W908">
            <v>6600</v>
          </cell>
          <cell r="X908" t="str">
            <v>btl</v>
          </cell>
          <cell r="Y908">
            <v>6625</v>
          </cell>
          <cell r="Z908" t="str">
            <v>btl</v>
          </cell>
        </row>
        <row r="909">
          <cell r="A909" t="str">
            <v>FINTO</v>
          </cell>
          <cell r="B909" t="str">
            <v>Minuman Finto, Cola-cola, Sprata,grendy</v>
          </cell>
          <cell r="C909">
            <v>12</v>
          </cell>
          <cell r="D909" t="str">
            <v>pak</v>
          </cell>
          <cell r="E909">
            <v>33000</v>
          </cell>
          <cell r="F909">
            <v>164000</v>
          </cell>
          <cell r="G909">
            <v>2750</v>
          </cell>
          <cell r="N909">
            <v>3500</v>
          </cell>
          <cell r="O909">
            <v>10</v>
          </cell>
          <cell r="P909" t="str">
            <v>rtg</v>
          </cell>
          <cell r="AA909">
            <v>169000</v>
          </cell>
          <cell r="AB909" t="str">
            <v>dos</v>
          </cell>
        </row>
        <row r="910">
          <cell r="A910" t="str">
            <v>FLORIDINA</v>
          </cell>
          <cell r="B910" t="str">
            <v>Minuman Floridina</v>
          </cell>
          <cell r="C910">
            <v>12</v>
          </cell>
          <cell r="D910" t="str">
            <v>btl</v>
          </cell>
          <cell r="E910">
            <v>30000</v>
          </cell>
          <cell r="G910">
            <v>2500</v>
          </cell>
          <cell r="H910">
            <v>4000</v>
          </cell>
          <cell r="I910" t="str">
            <v>pc</v>
          </cell>
          <cell r="J910">
            <v>3500</v>
          </cell>
          <cell r="K910" t="str">
            <v>pc</v>
          </cell>
          <cell r="L910">
            <v>3000</v>
          </cell>
          <cell r="M910" t="str">
            <v>btl</v>
          </cell>
          <cell r="T910">
            <v>33000</v>
          </cell>
          <cell r="U910">
            <v>12</v>
          </cell>
          <cell r="V910" t="str">
            <v>lsn</v>
          </cell>
          <cell r="W910">
            <v>2700</v>
          </cell>
          <cell r="X910" t="str">
            <v>btl</v>
          </cell>
          <cell r="Y910">
            <v>2750</v>
          </cell>
          <cell r="Z910" t="str">
            <v>btl</v>
          </cell>
          <cell r="AA910">
            <v>33000</v>
          </cell>
          <cell r="AB910" t="str">
            <v>dos</v>
          </cell>
        </row>
        <row r="911">
          <cell r="A911" t="str">
            <v>FRESTEA500</v>
          </cell>
          <cell r="B911" t="str">
            <v>Minuman Frestea 500 ml</v>
          </cell>
          <cell r="C911">
            <v>12</v>
          </cell>
          <cell r="D911" t="str">
            <v>btl</v>
          </cell>
          <cell r="E911">
            <v>57500</v>
          </cell>
          <cell r="F911">
            <v>57500</v>
          </cell>
          <cell r="G911">
            <v>4791.666666666667</v>
          </cell>
          <cell r="H911">
            <v>6000</v>
          </cell>
          <cell r="I911" t="str">
            <v>btl</v>
          </cell>
          <cell r="J911">
            <v>5300</v>
          </cell>
          <cell r="K911" t="str">
            <v>btl</v>
          </cell>
          <cell r="L911">
            <v>5100</v>
          </cell>
          <cell r="M911" t="str">
            <v>btl</v>
          </cell>
          <cell r="T911">
            <v>60000</v>
          </cell>
          <cell r="U911">
            <v>12</v>
          </cell>
          <cell r="V911" t="str">
            <v>lsn</v>
          </cell>
          <cell r="W911">
            <v>4900</v>
          </cell>
          <cell r="X911" t="str">
            <v>btl</v>
          </cell>
          <cell r="Y911">
            <v>5000</v>
          </cell>
          <cell r="Z911" t="str">
            <v>btl</v>
          </cell>
          <cell r="AA911">
            <v>117000</v>
          </cell>
          <cell r="AB911" t="str">
            <v>dos</v>
          </cell>
        </row>
        <row r="912">
          <cell r="A912" t="str">
            <v>FRUIT500</v>
          </cell>
          <cell r="B912" t="str">
            <v>Minuman FRUIT TEA 500ML</v>
          </cell>
          <cell r="C912">
            <v>24</v>
          </cell>
          <cell r="D912" t="str">
            <v>dos</v>
          </cell>
          <cell r="E912">
            <v>119350</v>
          </cell>
          <cell r="F912">
            <v>59675</v>
          </cell>
          <cell r="G912">
            <v>4972.916666666667</v>
          </cell>
          <cell r="H912">
            <v>6000</v>
          </cell>
          <cell r="I912" t="str">
            <v>btl</v>
          </cell>
          <cell r="J912">
            <v>5300</v>
          </cell>
          <cell r="K912" t="str">
            <v>btl</v>
          </cell>
          <cell r="L912">
            <v>5200</v>
          </cell>
          <cell r="M912" t="str">
            <v>btl</v>
          </cell>
          <cell r="T912">
            <v>61500</v>
          </cell>
          <cell r="U912">
            <v>12</v>
          </cell>
          <cell r="V912" t="str">
            <v>lsn</v>
          </cell>
          <cell r="W912">
            <v>5100</v>
          </cell>
          <cell r="X912" t="str">
            <v>btl</v>
          </cell>
          <cell r="Y912">
            <v>5125</v>
          </cell>
          <cell r="Z912" t="str">
            <v>btl</v>
          </cell>
          <cell r="AA912">
            <v>122000</v>
          </cell>
          <cell r="AB912" t="str">
            <v>dos</v>
          </cell>
        </row>
        <row r="913">
          <cell r="A913" t="str">
            <v>FRESTEA350</v>
          </cell>
          <cell r="B913" t="str">
            <v>Minuman Frestea 350 ml</v>
          </cell>
          <cell r="C913">
            <v>12</v>
          </cell>
          <cell r="D913" t="str">
            <v>btl</v>
          </cell>
          <cell r="E913">
            <v>36100</v>
          </cell>
          <cell r="F913">
            <v>36100</v>
          </cell>
          <cell r="G913">
            <v>3008.3333333333335</v>
          </cell>
          <cell r="H913">
            <v>5000</v>
          </cell>
          <cell r="I913" t="str">
            <v>btl</v>
          </cell>
          <cell r="J913">
            <v>4000</v>
          </cell>
          <cell r="K913" t="str">
            <v>btl</v>
          </cell>
          <cell r="L913">
            <v>4000</v>
          </cell>
          <cell r="M913" t="str">
            <v>btl</v>
          </cell>
          <cell r="T913">
            <v>60000</v>
          </cell>
          <cell r="U913">
            <v>12</v>
          </cell>
          <cell r="V913" t="str">
            <v>lsn</v>
          </cell>
          <cell r="W913">
            <v>4900</v>
          </cell>
          <cell r="X913" t="str">
            <v>btl</v>
          </cell>
          <cell r="Y913">
            <v>5000</v>
          </cell>
          <cell r="Z913" t="str">
            <v>btl</v>
          </cell>
          <cell r="AA913">
            <v>117000</v>
          </cell>
          <cell r="AB913" t="str">
            <v>dos</v>
          </cell>
        </row>
        <row r="914">
          <cell r="A914" t="str">
            <v>GRES</v>
          </cell>
          <cell r="B914" t="str">
            <v>Minuman Gres Besar 500 ml / C 2</v>
          </cell>
          <cell r="C914">
            <v>24</v>
          </cell>
          <cell r="D914" t="str">
            <v>dos</v>
          </cell>
          <cell r="E914">
            <v>58000</v>
          </cell>
          <cell r="F914">
            <v>29000</v>
          </cell>
          <cell r="G914">
            <v>2416.6666666666665</v>
          </cell>
          <cell r="H914">
            <v>4000</v>
          </cell>
          <cell r="I914" t="str">
            <v>btl</v>
          </cell>
          <cell r="J914">
            <v>3000</v>
          </cell>
          <cell r="K914" t="str">
            <v>btl</v>
          </cell>
          <cell r="L914">
            <v>2700</v>
          </cell>
          <cell r="M914" t="str">
            <v>btl</v>
          </cell>
          <cell r="T914">
            <v>31500</v>
          </cell>
          <cell r="U914">
            <v>12</v>
          </cell>
          <cell r="V914" t="str">
            <v>lsn</v>
          </cell>
          <cell r="W914">
            <v>2600</v>
          </cell>
          <cell r="X914" t="str">
            <v>btl</v>
          </cell>
          <cell r="Y914">
            <v>2625</v>
          </cell>
          <cell r="Z914" t="str">
            <v>btl</v>
          </cell>
          <cell r="AA914">
            <v>61000</v>
          </cell>
          <cell r="AB914" t="str">
            <v>dos</v>
          </cell>
        </row>
        <row r="915">
          <cell r="A915" t="str">
            <v>GUAVA</v>
          </cell>
          <cell r="B915" t="str">
            <v>Minuman GUAVA</v>
          </cell>
          <cell r="C915">
            <v>12</v>
          </cell>
          <cell r="D915" t="str">
            <v>dos</v>
          </cell>
          <cell r="E915">
            <v>46800</v>
          </cell>
          <cell r="F915">
            <v>46800</v>
          </cell>
          <cell r="G915">
            <v>3900</v>
          </cell>
          <cell r="H915">
            <v>5000</v>
          </cell>
          <cell r="I915" t="str">
            <v>btl</v>
          </cell>
          <cell r="J915">
            <v>4500</v>
          </cell>
          <cell r="K915" t="str">
            <v>btl</v>
          </cell>
          <cell r="L915">
            <v>4200</v>
          </cell>
          <cell r="M915" t="str">
            <v>btl</v>
          </cell>
          <cell r="T915">
            <v>49000</v>
          </cell>
          <cell r="U915">
            <v>12</v>
          </cell>
          <cell r="V915" t="str">
            <v>lsn</v>
          </cell>
          <cell r="W915">
            <v>4000</v>
          </cell>
          <cell r="X915" t="str">
            <v>btl</v>
          </cell>
          <cell r="Y915">
            <v>4083.3333333333335</v>
          </cell>
          <cell r="Z915" t="str">
            <v>btl</v>
          </cell>
          <cell r="AA915">
            <v>49000</v>
          </cell>
          <cell r="AB915" t="str">
            <v>dos</v>
          </cell>
        </row>
        <row r="916">
          <cell r="A916" t="str">
            <v>HEMAVITONK</v>
          </cell>
          <cell r="B916" t="str">
            <v>Minuman Hemaviton Jreng</v>
          </cell>
          <cell r="C916">
            <v>10</v>
          </cell>
          <cell r="D916" t="str">
            <v>pak</v>
          </cell>
          <cell r="E916">
            <v>6050</v>
          </cell>
          <cell r="F916">
            <v>60500</v>
          </cell>
          <cell r="G916">
            <v>605</v>
          </cell>
          <cell r="H916">
            <v>7500</v>
          </cell>
          <cell r="I916" t="str">
            <v>pak</v>
          </cell>
          <cell r="J916">
            <v>7500</v>
          </cell>
          <cell r="K916" t="str">
            <v>pak</v>
          </cell>
          <cell r="L916">
            <v>6500</v>
          </cell>
          <cell r="M916" t="str">
            <v>ktk</v>
          </cell>
          <cell r="Q916">
            <v>63000</v>
          </cell>
          <cell r="R916">
            <v>10</v>
          </cell>
          <cell r="S916" t="str">
            <v>pak</v>
          </cell>
          <cell r="W916">
            <v>6200</v>
          </cell>
          <cell r="X916" t="str">
            <v>ktk</v>
          </cell>
          <cell r="Y916">
            <v>6300</v>
          </cell>
          <cell r="Z916" t="str">
            <v>ktk</v>
          </cell>
        </row>
        <row r="917">
          <cell r="A917" t="str">
            <v>HEMAVITONB</v>
          </cell>
          <cell r="B917" t="str">
            <v>Minuman Hemaviton Jreng Btl</v>
          </cell>
          <cell r="C917">
            <v>10</v>
          </cell>
          <cell r="D917" t="str">
            <v>pak</v>
          </cell>
          <cell r="E917">
            <v>31200</v>
          </cell>
          <cell r="F917">
            <v>156000</v>
          </cell>
          <cell r="G917">
            <v>3120</v>
          </cell>
        </row>
        <row r="918">
          <cell r="A918" t="str">
            <v>ICHI</v>
          </cell>
          <cell r="B918" t="str">
            <v>Minuman ICHI OCHA</v>
          </cell>
          <cell r="C918">
            <v>12</v>
          </cell>
          <cell r="D918" t="str">
            <v>btl</v>
          </cell>
          <cell r="E918">
            <v>27000</v>
          </cell>
          <cell r="F918">
            <v>27000</v>
          </cell>
          <cell r="G918">
            <v>2250</v>
          </cell>
          <cell r="H918">
            <v>3500</v>
          </cell>
          <cell r="I918" t="str">
            <v>btl</v>
          </cell>
          <cell r="J918">
            <v>3500</v>
          </cell>
          <cell r="K918" t="str">
            <v>btl</v>
          </cell>
          <cell r="L918">
            <v>3350</v>
          </cell>
          <cell r="M918" t="str">
            <v>btl</v>
          </cell>
          <cell r="T918">
            <v>30000</v>
          </cell>
          <cell r="U918">
            <v>12</v>
          </cell>
          <cell r="V918" t="str">
            <v>lsn</v>
          </cell>
          <cell r="W918">
            <v>3200</v>
          </cell>
          <cell r="X918" t="str">
            <v>btl</v>
          </cell>
          <cell r="Z918" t="str">
            <v>btl</v>
          </cell>
        </row>
        <row r="919">
          <cell r="A919" t="str">
            <v>JASJUS</v>
          </cell>
          <cell r="B919" t="str">
            <v>Minuman Jasjus</v>
          </cell>
          <cell r="C919">
            <v>5</v>
          </cell>
          <cell r="D919" t="str">
            <v>rtg</v>
          </cell>
          <cell r="E919">
            <v>13950</v>
          </cell>
          <cell r="F919">
            <v>27900</v>
          </cell>
          <cell r="G919">
            <v>2790</v>
          </cell>
          <cell r="L919">
            <v>3500</v>
          </cell>
          <cell r="M919" t="str">
            <v>rtg</v>
          </cell>
        </row>
        <row r="920">
          <cell r="A920" t="str">
            <v>KACAMATA</v>
          </cell>
          <cell r="B920" t="str">
            <v>Jeli Kacamata</v>
          </cell>
          <cell r="C920">
            <v>10</v>
          </cell>
          <cell r="D920" t="str">
            <v>pak</v>
          </cell>
          <cell r="E920">
            <v>4600</v>
          </cell>
          <cell r="F920">
            <v>46000</v>
          </cell>
          <cell r="G920">
            <v>460</v>
          </cell>
          <cell r="Q920">
            <v>6000</v>
          </cell>
          <cell r="S920" t="str">
            <v>pak</v>
          </cell>
        </row>
        <row r="921">
          <cell r="A921" t="str">
            <v>DUPON</v>
          </cell>
          <cell r="B921" t="str">
            <v>Minuman Jeli Alloy Cup New</v>
          </cell>
          <cell r="C921">
            <v>4</v>
          </cell>
          <cell r="D921" t="str">
            <v>pak</v>
          </cell>
          <cell r="E921">
            <v>1916.6666666666667</v>
          </cell>
          <cell r="F921">
            <v>23000</v>
          </cell>
          <cell r="G921">
            <v>479.16666666666669</v>
          </cell>
          <cell r="H921">
            <v>3000</v>
          </cell>
          <cell r="I921" t="str">
            <v>pak</v>
          </cell>
          <cell r="J921">
            <v>2700</v>
          </cell>
          <cell r="K921" t="str">
            <v>pak</v>
          </cell>
          <cell r="L921">
            <v>2300</v>
          </cell>
          <cell r="M921" t="str">
            <v>pak</v>
          </cell>
          <cell r="T921">
            <v>26000</v>
          </cell>
          <cell r="U921">
            <v>12</v>
          </cell>
          <cell r="V921" t="str">
            <v>lsn</v>
          </cell>
          <cell r="W921">
            <v>2100</v>
          </cell>
          <cell r="X921" t="str">
            <v>pak</v>
          </cell>
          <cell r="Y921">
            <v>2166.6666666666665</v>
          </cell>
          <cell r="Z921" t="str">
            <v>pak</v>
          </cell>
        </row>
        <row r="922">
          <cell r="A922" t="str">
            <v>JELI2000K</v>
          </cell>
          <cell r="B922" t="str">
            <v>Minuman Jeli Alloy Nata Box</v>
          </cell>
          <cell r="C922">
            <v>10</v>
          </cell>
          <cell r="D922" t="str">
            <v>pak</v>
          </cell>
          <cell r="E922">
            <v>1216.6666666666667</v>
          </cell>
          <cell r="F922">
            <v>36500</v>
          </cell>
          <cell r="G922">
            <v>121.66666666666667</v>
          </cell>
          <cell r="Q922">
            <v>2500</v>
          </cell>
          <cell r="R922">
            <v>5</v>
          </cell>
          <cell r="S922" t="str">
            <v>pak</v>
          </cell>
          <cell r="W922">
            <v>1700</v>
          </cell>
          <cell r="X922" t="str">
            <v>pak</v>
          </cell>
          <cell r="Y922">
            <v>2000</v>
          </cell>
          <cell r="Z922" t="str">
            <v>pak</v>
          </cell>
        </row>
        <row r="923">
          <cell r="A923" t="str">
            <v>ICESTICK</v>
          </cell>
          <cell r="B923" t="str">
            <v>Minuman Jeli ICE STICK</v>
          </cell>
          <cell r="C923">
            <v>10</v>
          </cell>
          <cell r="D923" t="str">
            <v>pak</v>
          </cell>
          <cell r="E923">
            <v>3733.4813333333336</v>
          </cell>
          <cell r="F923">
            <v>56002.22</v>
          </cell>
          <cell r="G923">
            <v>373.34813333333335</v>
          </cell>
          <cell r="H923">
            <v>1000</v>
          </cell>
          <cell r="I923" t="str">
            <v>pc</v>
          </cell>
          <cell r="J923">
            <v>1000</v>
          </cell>
          <cell r="K923" t="str">
            <v>pc</v>
          </cell>
          <cell r="L923">
            <v>1000</v>
          </cell>
          <cell r="M923" t="str">
            <v>pc</v>
          </cell>
          <cell r="Q923">
            <v>4500</v>
          </cell>
          <cell r="R923">
            <v>5</v>
          </cell>
          <cell r="S923" t="str">
            <v>pak</v>
          </cell>
        </row>
        <row r="924">
          <cell r="A924" t="str">
            <v>KIKO</v>
          </cell>
          <cell r="B924" t="str">
            <v>Minuman Kiko</v>
          </cell>
          <cell r="C924">
            <v>10</v>
          </cell>
          <cell r="D924" t="str">
            <v>dos</v>
          </cell>
          <cell r="E924">
            <v>5200</v>
          </cell>
          <cell r="F924">
            <v>52000</v>
          </cell>
          <cell r="G924">
            <v>520</v>
          </cell>
          <cell r="Q924">
            <v>6000</v>
          </cell>
          <cell r="S924" t="str">
            <v>pak</v>
          </cell>
        </row>
        <row r="925">
          <cell r="A925" t="str">
            <v>KOKO</v>
          </cell>
          <cell r="B925" t="str">
            <v>Minuman Koko  Drink</v>
          </cell>
          <cell r="C925">
            <v>24</v>
          </cell>
          <cell r="D925" t="str">
            <v>dos</v>
          </cell>
          <cell r="E925">
            <v>20499.599999999999</v>
          </cell>
          <cell r="G925">
            <v>854.15</v>
          </cell>
          <cell r="H925">
            <v>1000</v>
          </cell>
          <cell r="I925" t="str">
            <v>pc</v>
          </cell>
          <cell r="J925">
            <v>1000</v>
          </cell>
          <cell r="K925" t="str">
            <v>pc</v>
          </cell>
          <cell r="L925">
            <v>1000</v>
          </cell>
          <cell r="M925" t="str">
            <v>pc</v>
          </cell>
        </row>
        <row r="926">
          <cell r="A926" t="str">
            <v>KOPIKO78</v>
          </cell>
          <cell r="B926" t="str">
            <v>Minuman Kopiko 78 Botol</v>
          </cell>
          <cell r="C926">
            <v>24</v>
          </cell>
          <cell r="D926" t="str">
            <v>dos</v>
          </cell>
          <cell r="E926">
            <v>92500</v>
          </cell>
          <cell r="F926">
            <v>46250</v>
          </cell>
          <cell r="G926">
            <v>3854.1666666666665</v>
          </cell>
          <cell r="H926">
            <v>5000</v>
          </cell>
          <cell r="I926" t="str">
            <v>btl</v>
          </cell>
          <cell r="J926">
            <v>4500</v>
          </cell>
          <cell r="K926" t="str">
            <v>btl</v>
          </cell>
          <cell r="L926">
            <v>4200</v>
          </cell>
          <cell r="M926" t="str">
            <v>btl</v>
          </cell>
          <cell r="T926">
            <v>49000</v>
          </cell>
          <cell r="U926">
            <v>12</v>
          </cell>
          <cell r="V926" t="str">
            <v>lsn</v>
          </cell>
          <cell r="W926">
            <v>4000</v>
          </cell>
          <cell r="X926" t="str">
            <v>btl</v>
          </cell>
          <cell r="Y926">
            <v>4083.3333333333335</v>
          </cell>
          <cell r="Z926" t="str">
            <v>btl</v>
          </cell>
        </row>
        <row r="927">
          <cell r="A927" t="str">
            <v>KRATING</v>
          </cell>
          <cell r="B927" t="str">
            <v>Minuman Kratingdeng</v>
          </cell>
          <cell r="C927">
            <v>10</v>
          </cell>
          <cell r="D927" t="str">
            <v>pak</v>
          </cell>
          <cell r="E927">
            <v>42600</v>
          </cell>
          <cell r="F927">
            <v>213000</v>
          </cell>
          <cell r="G927">
            <v>4260</v>
          </cell>
          <cell r="H927">
            <v>5000</v>
          </cell>
          <cell r="I927" t="str">
            <v>pc</v>
          </cell>
          <cell r="J927">
            <v>4700</v>
          </cell>
          <cell r="K927" t="str">
            <v>pc</v>
          </cell>
          <cell r="L927">
            <v>4600</v>
          </cell>
          <cell r="M927" t="str">
            <v>pc</v>
          </cell>
          <cell r="Q927">
            <v>45000</v>
          </cell>
          <cell r="R927">
            <v>10</v>
          </cell>
          <cell r="S927" t="str">
            <v>pak</v>
          </cell>
          <cell r="X927" t="str">
            <v>pc</v>
          </cell>
          <cell r="Y927">
            <v>4500</v>
          </cell>
          <cell r="Z927" t="str">
            <v>pc</v>
          </cell>
        </row>
        <row r="928">
          <cell r="A928" t="str">
            <v>ORANAMIN</v>
          </cell>
          <cell r="B928" t="str">
            <v>Minuman ORANAMIN C</v>
          </cell>
          <cell r="C928">
            <v>24</v>
          </cell>
          <cell r="D928" t="str">
            <v>btl</v>
          </cell>
          <cell r="E928">
            <v>96000</v>
          </cell>
          <cell r="F928">
            <v>48000</v>
          </cell>
          <cell r="G928">
            <v>4000</v>
          </cell>
          <cell r="H928">
            <v>5000</v>
          </cell>
          <cell r="I928" t="str">
            <v>pc</v>
          </cell>
          <cell r="J928">
            <v>4700</v>
          </cell>
          <cell r="K928" t="str">
            <v>pc</v>
          </cell>
          <cell r="L928">
            <v>4500</v>
          </cell>
          <cell r="M928" t="str">
            <v>pc</v>
          </cell>
          <cell r="T928">
            <v>51000</v>
          </cell>
          <cell r="U928">
            <v>12</v>
          </cell>
          <cell r="V928" t="str">
            <v>lsn</v>
          </cell>
          <cell r="W928">
            <v>4200</v>
          </cell>
          <cell r="X928" t="str">
            <v>pc</v>
          </cell>
          <cell r="Y928">
            <v>4250</v>
          </cell>
          <cell r="Z928" t="str">
            <v>pc</v>
          </cell>
        </row>
        <row r="929">
          <cell r="A929" t="str">
            <v>Krating240</v>
          </cell>
          <cell r="B929" t="str">
            <v>Minuman Kratingdeng 240 Ml</v>
          </cell>
          <cell r="C929">
            <v>24</v>
          </cell>
          <cell r="D929" t="str">
            <v>Dos</v>
          </cell>
          <cell r="E929">
            <v>95000</v>
          </cell>
          <cell r="G929">
            <v>3958.3333333333335</v>
          </cell>
          <cell r="H929">
            <v>5000</v>
          </cell>
          <cell r="I929" t="str">
            <v>pc</v>
          </cell>
          <cell r="J929">
            <v>4350</v>
          </cell>
          <cell r="K929" t="str">
            <v>pc</v>
          </cell>
          <cell r="L929">
            <v>4300</v>
          </cell>
          <cell r="M929" t="str">
            <v>pc</v>
          </cell>
          <cell r="W929">
            <v>4100</v>
          </cell>
          <cell r="X929" t="str">
            <v>pc</v>
          </cell>
          <cell r="Y929">
            <v>4200</v>
          </cell>
          <cell r="Z929" t="str">
            <v>pc</v>
          </cell>
        </row>
        <row r="930">
          <cell r="A930" t="str">
            <v>BIMA</v>
          </cell>
          <cell r="B930" t="str">
            <v>Minuman Kuku bima anggur</v>
          </cell>
          <cell r="C930">
            <v>6</v>
          </cell>
          <cell r="D930" t="str">
            <v>pak</v>
          </cell>
          <cell r="E930">
            <v>4800</v>
          </cell>
          <cell r="F930">
            <v>48000</v>
          </cell>
          <cell r="G930">
            <v>800</v>
          </cell>
          <cell r="H930">
            <v>6000</v>
          </cell>
          <cell r="I930" t="str">
            <v>ktk</v>
          </cell>
          <cell r="J930">
            <v>6000</v>
          </cell>
          <cell r="K930" t="str">
            <v>ktk</v>
          </cell>
          <cell r="L930">
            <v>5500</v>
          </cell>
          <cell r="M930" t="str">
            <v>ktk</v>
          </cell>
          <cell r="Q930">
            <v>50000</v>
          </cell>
          <cell r="R930">
            <v>10</v>
          </cell>
          <cell r="S930" t="str">
            <v>pak</v>
          </cell>
          <cell r="W930">
            <v>4900</v>
          </cell>
          <cell r="X930" t="str">
            <v>ktk</v>
          </cell>
          <cell r="Y930">
            <v>5000</v>
          </cell>
          <cell r="Z930" t="str">
            <v>ktk</v>
          </cell>
        </row>
        <row r="931">
          <cell r="A931" t="str">
            <v>VITAMIN</v>
          </cell>
          <cell r="B931" t="str">
            <v>Minuman VITAMIN TEA</v>
          </cell>
          <cell r="C931">
            <v>12</v>
          </cell>
          <cell r="D931" t="str">
            <v>btl</v>
          </cell>
          <cell r="E931">
            <v>38500</v>
          </cell>
          <cell r="F931">
            <v>154000</v>
          </cell>
          <cell r="G931">
            <v>3208.3333333333335</v>
          </cell>
          <cell r="H931">
            <v>5000</v>
          </cell>
          <cell r="I931" t="str">
            <v>btl</v>
          </cell>
          <cell r="J931">
            <v>4500</v>
          </cell>
          <cell r="K931" t="str">
            <v>btl</v>
          </cell>
          <cell r="L931">
            <v>3800</v>
          </cell>
          <cell r="M931" t="str">
            <v>btl</v>
          </cell>
          <cell r="T931">
            <v>41000</v>
          </cell>
          <cell r="U931">
            <v>12</v>
          </cell>
          <cell r="V931" t="str">
            <v>lsn</v>
          </cell>
          <cell r="Y931">
            <v>3500</v>
          </cell>
          <cell r="Z931" t="str">
            <v>btl</v>
          </cell>
        </row>
        <row r="932">
          <cell r="A932" t="str">
            <v>M150</v>
          </cell>
          <cell r="B932" t="str">
            <v>Minuman M 150</v>
          </cell>
          <cell r="C932">
            <v>10</v>
          </cell>
          <cell r="D932" t="str">
            <v>pak</v>
          </cell>
          <cell r="E932">
            <v>30800</v>
          </cell>
          <cell r="F932">
            <v>154000</v>
          </cell>
          <cell r="G932">
            <v>3080</v>
          </cell>
        </row>
        <row r="933">
          <cell r="A933" t="str">
            <v>MARIMAS</v>
          </cell>
          <cell r="B933" t="str">
            <v>Minuman Marimas/es puter</v>
          </cell>
          <cell r="C933">
            <v>12</v>
          </cell>
          <cell r="D933" t="str">
            <v>rtg</v>
          </cell>
          <cell r="E933">
            <v>35000</v>
          </cell>
          <cell r="F933">
            <v>420000</v>
          </cell>
          <cell r="G933">
            <v>2916.6666666666665</v>
          </cell>
          <cell r="N933">
            <v>3333.3333333333335</v>
          </cell>
          <cell r="P933" t="str">
            <v>rtg</v>
          </cell>
        </row>
        <row r="934">
          <cell r="A934" t="str">
            <v>REALGOOD</v>
          </cell>
          <cell r="B934" t="str">
            <v>Minuman REALGOOD</v>
          </cell>
          <cell r="C934">
            <v>48</v>
          </cell>
          <cell r="D934" t="str">
            <v>pcs</v>
          </cell>
          <cell r="E934">
            <v>43000</v>
          </cell>
          <cell r="F934">
            <v>10750</v>
          </cell>
          <cell r="G934">
            <v>895.83333333333337</v>
          </cell>
          <cell r="H934">
            <v>1500</v>
          </cell>
          <cell r="I934" t="str">
            <v>pc</v>
          </cell>
          <cell r="J934">
            <v>1500</v>
          </cell>
          <cell r="K934" t="str">
            <v>pc</v>
          </cell>
          <cell r="L934">
            <v>1500</v>
          </cell>
          <cell r="M934" t="str">
            <v>pc</v>
          </cell>
          <cell r="T934">
            <v>13500</v>
          </cell>
          <cell r="U934">
            <v>12</v>
          </cell>
          <cell r="V934" t="str">
            <v>lsn</v>
          </cell>
          <cell r="Y934">
            <v>1200</v>
          </cell>
          <cell r="Z934" t="str">
            <v>pc</v>
          </cell>
        </row>
        <row r="935">
          <cell r="A935" t="str">
            <v>MILKUATB</v>
          </cell>
          <cell r="B935" t="str">
            <v>Minuman Milkuat Bantal</v>
          </cell>
          <cell r="C935">
            <v>54</v>
          </cell>
          <cell r="D935" t="str">
            <v>dos</v>
          </cell>
          <cell r="E935">
            <v>55300</v>
          </cell>
          <cell r="F935">
            <v>12288.888888888891</v>
          </cell>
          <cell r="G935">
            <v>1024.0740740740741</v>
          </cell>
          <cell r="H935">
            <v>1500</v>
          </cell>
          <cell r="I935" t="str">
            <v>pc</v>
          </cell>
          <cell r="J935">
            <v>1500</v>
          </cell>
          <cell r="K935" t="str">
            <v>pc</v>
          </cell>
          <cell r="L935">
            <v>1500</v>
          </cell>
          <cell r="M935" t="str">
            <v>pc</v>
          </cell>
        </row>
        <row r="936">
          <cell r="A936" t="str">
            <v>MILKU</v>
          </cell>
          <cell r="B936" t="str">
            <v>Minuman MILKU BOTOL</v>
          </cell>
          <cell r="C936">
            <v>12</v>
          </cell>
          <cell r="D936" t="str">
            <v>pak</v>
          </cell>
          <cell r="E936">
            <v>28500</v>
          </cell>
          <cell r="F936">
            <v>28500</v>
          </cell>
          <cell r="G936">
            <v>2375</v>
          </cell>
          <cell r="H936">
            <v>4000</v>
          </cell>
          <cell r="I936" t="str">
            <v>pc</v>
          </cell>
          <cell r="J936">
            <v>4000</v>
          </cell>
          <cell r="K936" t="str">
            <v>pc</v>
          </cell>
          <cell r="L936">
            <v>3500</v>
          </cell>
          <cell r="M936" t="str">
            <v>pc</v>
          </cell>
        </row>
        <row r="937">
          <cell r="A937" t="str">
            <v>milkuat125</v>
          </cell>
          <cell r="B937" t="str">
            <v>Minuman Milkuat Kotak Genio</v>
          </cell>
          <cell r="C937">
            <v>40</v>
          </cell>
          <cell r="D937" t="str">
            <v>pak</v>
          </cell>
          <cell r="E937">
            <v>70000</v>
          </cell>
          <cell r="F937">
            <v>21000</v>
          </cell>
          <cell r="G937">
            <v>1750</v>
          </cell>
        </row>
        <row r="938">
          <cell r="A938" t="str">
            <v>MINUTE</v>
          </cell>
          <cell r="B938" t="str">
            <v>Minuman Minute Maid 250</v>
          </cell>
          <cell r="C938">
            <v>8</v>
          </cell>
          <cell r="D938" t="str">
            <v>btl</v>
          </cell>
          <cell r="E938">
            <v>25750</v>
          </cell>
          <cell r="G938">
            <v>3218.75</v>
          </cell>
        </row>
        <row r="939">
          <cell r="A939" t="str">
            <v>MIZONE</v>
          </cell>
          <cell r="B939" t="str">
            <v>Minuman Mizone</v>
          </cell>
          <cell r="C939">
            <v>12</v>
          </cell>
          <cell r="D939" t="str">
            <v>dos</v>
          </cell>
          <cell r="E939">
            <v>45000</v>
          </cell>
          <cell r="G939">
            <v>3750</v>
          </cell>
          <cell r="H939">
            <v>5000</v>
          </cell>
          <cell r="I939" t="str">
            <v>btl</v>
          </cell>
          <cell r="J939">
            <v>4500</v>
          </cell>
          <cell r="K939" t="str">
            <v>btl</v>
          </cell>
          <cell r="L939">
            <v>4200</v>
          </cell>
          <cell r="M939" t="str">
            <v>btl</v>
          </cell>
          <cell r="T939">
            <v>48000</v>
          </cell>
          <cell r="U939">
            <v>12</v>
          </cell>
          <cell r="V939" t="str">
            <v>lsn</v>
          </cell>
          <cell r="Y939">
            <v>4000</v>
          </cell>
          <cell r="Z939" t="str">
            <v>btl</v>
          </cell>
        </row>
        <row r="940">
          <cell r="A940" t="str">
            <v>JUSSYK</v>
          </cell>
          <cell r="B940" t="str">
            <v>Minuman Mr Jussy K</v>
          </cell>
          <cell r="C940">
            <v>48</v>
          </cell>
          <cell r="D940" t="str">
            <v>dos</v>
          </cell>
          <cell r="E940">
            <v>48840</v>
          </cell>
          <cell r="F940">
            <v>12210</v>
          </cell>
          <cell r="G940">
            <v>1017.5</v>
          </cell>
          <cell r="H940">
            <v>1500</v>
          </cell>
          <cell r="I940" t="str">
            <v>pc</v>
          </cell>
          <cell r="J940">
            <v>1500</v>
          </cell>
          <cell r="K940" t="str">
            <v>pc</v>
          </cell>
          <cell r="L940">
            <v>1400</v>
          </cell>
          <cell r="M940" t="str">
            <v>pc</v>
          </cell>
          <cell r="T940">
            <v>14500</v>
          </cell>
          <cell r="U940">
            <v>12</v>
          </cell>
          <cell r="V940" t="str">
            <v>lsn</v>
          </cell>
          <cell r="W940">
            <v>1200</v>
          </cell>
          <cell r="X940" t="str">
            <v>pc</v>
          </cell>
          <cell r="Y940">
            <v>1300</v>
          </cell>
          <cell r="Z940" t="str">
            <v>pc</v>
          </cell>
        </row>
        <row r="941">
          <cell r="A941" t="str">
            <v>MYTEA450</v>
          </cell>
          <cell r="B941" t="str">
            <v>Minuman MY TEA Besar 450 ml</v>
          </cell>
          <cell r="C941">
            <v>12</v>
          </cell>
          <cell r="D941" t="str">
            <v>dos</v>
          </cell>
          <cell r="E941">
            <v>55000</v>
          </cell>
          <cell r="G941">
            <v>4583.333333333333</v>
          </cell>
          <cell r="H941">
            <v>6000</v>
          </cell>
          <cell r="I941" t="str">
            <v>btl</v>
          </cell>
          <cell r="J941">
            <v>5500</v>
          </cell>
          <cell r="K941" t="str">
            <v>btl</v>
          </cell>
          <cell r="L941">
            <v>4900</v>
          </cell>
          <cell r="M941" t="str">
            <v>btl</v>
          </cell>
          <cell r="T941">
            <v>58000</v>
          </cell>
          <cell r="U941">
            <v>12</v>
          </cell>
          <cell r="V941" t="str">
            <v>lsn</v>
          </cell>
          <cell r="W941">
            <v>4850</v>
          </cell>
          <cell r="X941" t="str">
            <v>btl</v>
          </cell>
          <cell r="Y941">
            <v>4900</v>
          </cell>
          <cell r="Z941" t="str">
            <v>btl</v>
          </cell>
        </row>
        <row r="942">
          <cell r="A942" t="str">
            <v>MYTEA320</v>
          </cell>
          <cell r="B942" t="str">
            <v>Minuman MY TEA Besar 320 ml</v>
          </cell>
          <cell r="C942">
            <v>12</v>
          </cell>
          <cell r="D942" t="str">
            <v>dos</v>
          </cell>
          <cell r="E942">
            <v>34500</v>
          </cell>
          <cell r="G942">
            <v>2875</v>
          </cell>
          <cell r="H942">
            <v>4000</v>
          </cell>
          <cell r="I942" t="str">
            <v>btl</v>
          </cell>
          <cell r="J942">
            <v>3700</v>
          </cell>
          <cell r="K942" t="str">
            <v>btl</v>
          </cell>
          <cell r="L942">
            <v>3500</v>
          </cell>
          <cell r="M942" t="str">
            <v>btl</v>
          </cell>
          <cell r="T942">
            <v>36000</v>
          </cell>
          <cell r="U942">
            <v>12</v>
          </cell>
          <cell r="V942" t="str">
            <v>lsn</v>
          </cell>
          <cell r="X942" t="str">
            <v>btl</v>
          </cell>
          <cell r="Y942">
            <v>3300</v>
          </cell>
          <cell r="Z942" t="str">
            <v>btl</v>
          </cell>
        </row>
        <row r="943">
          <cell r="A943" t="str">
            <v>GOODM</v>
          </cell>
          <cell r="B943" t="str">
            <v>Minuman GOODMOOD 500 ml</v>
          </cell>
          <cell r="C943">
            <v>12</v>
          </cell>
          <cell r="D943" t="str">
            <v>dos</v>
          </cell>
          <cell r="E943">
            <v>42500</v>
          </cell>
          <cell r="F943">
            <v>42500</v>
          </cell>
          <cell r="G943">
            <v>3541.6666666666665</v>
          </cell>
          <cell r="H943">
            <v>5000</v>
          </cell>
          <cell r="I943" t="str">
            <v>btl</v>
          </cell>
          <cell r="J943">
            <v>4500</v>
          </cell>
          <cell r="K943" t="str">
            <v>btl</v>
          </cell>
          <cell r="L943">
            <v>4300</v>
          </cell>
          <cell r="M943" t="str">
            <v>btl</v>
          </cell>
          <cell r="T943">
            <v>49000</v>
          </cell>
          <cell r="U943">
            <v>12</v>
          </cell>
          <cell r="V943" t="str">
            <v>lsn</v>
          </cell>
          <cell r="W943">
            <v>4083.3333333333335</v>
          </cell>
          <cell r="X943" t="str">
            <v>btl</v>
          </cell>
          <cell r="Y943">
            <v>4200</v>
          </cell>
          <cell r="Z943" t="str">
            <v>btl</v>
          </cell>
          <cell r="AA943">
            <v>51000</v>
          </cell>
          <cell r="AB943" t="str">
            <v>dos</v>
          </cell>
        </row>
        <row r="944">
          <cell r="A944" t="str">
            <v>GREENM</v>
          </cell>
          <cell r="B944" t="str">
            <v>Minuman NU Green MILK</v>
          </cell>
          <cell r="C944">
            <v>24</v>
          </cell>
          <cell r="D944" t="str">
            <v>btl</v>
          </cell>
          <cell r="E944">
            <v>95000</v>
          </cell>
          <cell r="F944">
            <v>47500</v>
          </cell>
          <cell r="G944">
            <v>3958.3333333333335</v>
          </cell>
        </row>
        <row r="945">
          <cell r="A945" t="str">
            <v>GREENT</v>
          </cell>
          <cell r="B945" t="str">
            <v>Minuman NU Green Tea</v>
          </cell>
          <cell r="C945">
            <v>24</v>
          </cell>
          <cell r="D945" t="str">
            <v>btl</v>
          </cell>
          <cell r="E945">
            <v>109000</v>
          </cell>
          <cell r="F945">
            <v>54500</v>
          </cell>
          <cell r="G945">
            <v>4541.666666666667</v>
          </cell>
          <cell r="H945">
            <v>6000</v>
          </cell>
          <cell r="I945" t="str">
            <v>pc</v>
          </cell>
          <cell r="J945">
            <v>5500</v>
          </cell>
          <cell r="K945" t="str">
            <v>pc</v>
          </cell>
          <cell r="L945">
            <v>5000</v>
          </cell>
          <cell r="M945" t="str">
            <v>pc</v>
          </cell>
          <cell r="T945">
            <v>56500</v>
          </cell>
          <cell r="U945">
            <v>12</v>
          </cell>
          <cell r="V945" t="str">
            <v>lsn</v>
          </cell>
          <cell r="W945">
            <v>4700</v>
          </cell>
          <cell r="X945" t="str">
            <v>pc</v>
          </cell>
          <cell r="Y945">
            <v>4800</v>
          </cell>
          <cell r="Z945" t="str">
            <v>pc</v>
          </cell>
          <cell r="AA945">
            <v>111000</v>
          </cell>
          <cell r="AB945" t="str">
            <v>dos</v>
          </cell>
        </row>
        <row r="946">
          <cell r="A946" t="str">
            <v>JUV</v>
          </cell>
          <cell r="B946" t="str">
            <v>Minuman NU JUV</v>
          </cell>
          <cell r="C946">
            <v>24</v>
          </cell>
          <cell r="D946" t="str">
            <v>btl</v>
          </cell>
          <cell r="E946">
            <v>95000</v>
          </cell>
          <cell r="F946">
            <v>47500</v>
          </cell>
          <cell r="G946">
            <v>3958.3333333333335</v>
          </cell>
        </row>
        <row r="947">
          <cell r="A947" t="str">
            <v>NUTRIBOST</v>
          </cell>
          <cell r="B947" t="str">
            <v>Minuman NUTRIBOST</v>
          </cell>
          <cell r="C947">
            <v>12</v>
          </cell>
          <cell r="D947" t="str">
            <v>pcs</v>
          </cell>
          <cell r="E947">
            <v>62000</v>
          </cell>
          <cell r="G947">
            <v>5166.666666666667</v>
          </cell>
          <cell r="H947">
            <v>6000</v>
          </cell>
          <cell r="I947" t="str">
            <v>pc</v>
          </cell>
          <cell r="J947">
            <v>5700</v>
          </cell>
          <cell r="L947">
            <v>5450</v>
          </cell>
          <cell r="M947" t="str">
            <v>pc</v>
          </cell>
          <cell r="T947">
            <v>64500</v>
          </cell>
          <cell r="U947">
            <v>12</v>
          </cell>
          <cell r="V947" t="str">
            <v>lsn</v>
          </cell>
          <cell r="W947">
            <v>5350</v>
          </cell>
          <cell r="X947" t="str">
            <v>pc</v>
          </cell>
          <cell r="Y947">
            <v>5375</v>
          </cell>
          <cell r="Z947" t="str">
            <v>pc</v>
          </cell>
          <cell r="AA947">
            <v>64500</v>
          </cell>
          <cell r="AB947" t="str">
            <v>dos</v>
          </cell>
        </row>
        <row r="948">
          <cell r="A948" t="str">
            <v>NUTRIJELC</v>
          </cell>
          <cell r="B948" t="str">
            <v>Minuman Nutrijell COKLAT</v>
          </cell>
          <cell r="C948">
            <v>12</v>
          </cell>
          <cell r="D948" t="str">
            <v>ktk</v>
          </cell>
          <cell r="E948">
            <v>58000</v>
          </cell>
          <cell r="G948">
            <v>4833.333333333333</v>
          </cell>
          <cell r="H948">
            <v>6000</v>
          </cell>
          <cell r="I948" t="str">
            <v>pc</v>
          </cell>
          <cell r="J948">
            <v>6000</v>
          </cell>
          <cell r="K948" t="str">
            <v>pc</v>
          </cell>
          <cell r="L948">
            <v>5500</v>
          </cell>
          <cell r="M948" t="str">
            <v>pc</v>
          </cell>
          <cell r="Q948">
            <v>61000</v>
          </cell>
          <cell r="R948">
            <v>12</v>
          </cell>
          <cell r="S948" t="str">
            <v>pak</v>
          </cell>
          <cell r="W948">
            <v>5000</v>
          </cell>
          <cell r="X948" t="str">
            <v>pc</v>
          </cell>
          <cell r="Y948">
            <v>5100</v>
          </cell>
          <cell r="Z948" t="str">
            <v>pc</v>
          </cell>
        </row>
        <row r="949">
          <cell r="A949" t="str">
            <v>NUTRIJELK</v>
          </cell>
          <cell r="B949" t="str">
            <v>Minuman Nutrijell Kecil</v>
          </cell>
          <cell r="C949">
            <v>12</v>
          </cell>
          <cell r="D949" t="str">
            <v>ktk</v>
          </cell>
          <cell r="E949">
            <v>23000</v>
          </cell>
          <cell r="F949">
            <v>198000</v>
          </cell>
          <cell r="G949">
            <v>1916.6666666666667</v>
          </cell>
          <cell r="H949">
            <v>3000</v>
          </cell>
          <cell r="I949" t="str">
            <v>pc</v>
          </cell>
          <cell r="J949">
            <v>3000</v>
          </cell>
          <cell r="K949" t="str">
            <v>pc</v>
          </cell>
          <cell r="L949">
            <v>2500</v>
          </cell>
          <cell r="M949" t="str">
            <v>pc</v>
          </cell>
          <cell r="Q949">
            <v>19500</v>
          </cell>
          <cell r="R949">
            <v>12</v>
          </cell>
          <cell r="S949" t="str">
            <v>pak</v>
          </cell>
        </row>
        <row r="950">
          <cell r="A950" t="str">
            <v>NUTRIJELW</v>
          </cell>
          <cell r="B950" t="str">
            <v>Minuman Nutrijell WARNA</v>
          </cell>
          <cell r="C950">
            <v>12</v>
          </cell>
          <cell r="D950" t="str">
            <v>ktk</v>
          </cell>
          <cell r="E950">
            <v>44000</v>
          </cell>
          <cell r="F950">
            <v>528000</v>
          </cell>
          <cell r="G950">
            <v>3666.6666666666665</v>
          </cell>
          <cell r="H950">
            <v>4500</v>
          </cell>
          <cell r="I950" t="str">
            <v>pc</v>
          </cell>
          <cell r="J950">
            <v>4200</v>
          </cell>
          <cell r="K950" t="str">
            <v>pc</v>
          </cell>
          <cell r="L950">
            <v>4100</v>
          </cell>
          <cell r="M950" t="str">
            <v>pc</v>
          </cell>
          <cell r="Q950">
            <v>46500</v>
          </cell>
          <cell r="R950">
            <v>12</v>
          </cell>
          <cell r="S950" t="str">
            <v>pak</v>
          </cell>
          <cell r="W950">
            <v>3875</v>
          </cell>
          <cell r="X950" t="str">
            <v>pc</v>
          </cell>
          <cell r="Y950">
            <v>3950</v>
          </cell>
          <cell r="Z950" t="str">
            <v>pc</v>
          </cell>
          <cell r="AA950">
            <v>535000</v>
          </cell>
          <cell r="AB950" t="str">
            <v>dos</v>
          </cell>
        </row>
        <row r="951">
          <cell r="A951" t="str">
            <v>SARANGG</v>
          </cell>
          <cell r="B951" t="str">
            <v>Minuman SARANG BURUNG GELAS</v>
          </cell>
          <cell r="C951">
            <v>24</v>
          </cell>
          <cell r="D951" t="str">
            <v>pcs</v>
          </cell>
          <cell r="E951">
            <v>34500</v>
          </cell>
          <cell r="F951">
            <v>17250</v>
          </cell>
          <cell r="G951">
            <v>1437.5</v>
          </cell>
          <cell r="AA951">
            <v>21000</v>
          </cell>
          <cell r="AB951" t="str">
            <v>dos</v>
          </cell>
        </row>
        <row r="952">
          <cell r="A952" t="str">
            <v>mounteab</v>
          </cell>
          <cell r="B952" t="str">
            <v>Minuman Mountea Gelas 290 ml</v>
          </cell>
          <cell r="C952">
            <v>24</v>
          </cell>
          <cell r="D952" t="str">
            <v>pcs</v>
          </cell>
          <cell r="E952">
            <v>37800.400000000001</v>
          </cell>
          <cell r="F952">
            <v>18900.2</v>
          </cell>
          <cell r="G952">
            <v>1575.0166666666667</v>
          </cell>
          <cell r="H952">
            <v>2000</v>
          </cell>
          <cell r="I952" t="str">
            <v>pc</v>
          </cell>
          <cell r="AA952">
            <v>40000</v>
          </cell>
          <cell r="AB952" t="str">
            <v>dos</v>
          </cell>
        </row>
        <row r="953">
          <cell r="A953" t="str">
            <v>KOKO320</v>
          </cell>
          <cell r="B953" t="str">
            <v>Minuman Okky Botol 320 ml</v>
          </cell>
          <cell r="C953">
            <v>24</v>
          </cell>
          <cell r="D953" t="str">
            <v>btl</v>
          </cell>
          <cell r="E953">
            <v>114999.5</v>
          </cell>
          <cell r="F953">
            <v>57499.75</v>
          </cell>
          <cell r="G953">
            <v>4791.645833333333</v>
          </cell>
        </row>
        <row r="954">
          <cell r="A954" t="str">
            <v>OKKY220</v>
          </cell>
          <cell r="B954" t="str">
            <v>Minuman Okky Gelas 220 ml</v>
          </cell>
          <cell r="C954">
            <v>24</v>
          </cell>
          <cell r="D954" t="str">
            <v>btl</v>
          </cell>
          <cell r="E954">
            <v>37827.4</v>
          </cell>
          <cell r="F954">
            <v>18913.7</v>
          </cell>
          <cell r="G954">
            <v>1576.1416666666667</v>
          </cell>
          <cell r="H954">
            <v>2000</v>
          </cell>
          <cell r="I954" t="str">
            <v>pc</v>
          </cell>
          <cell r="J954">
            <v>2000</v>
          </cell>
          <cell r="K954" t="str">
            <v>pc</v>
          </cell>
          <cell r="AA954">
            <v>40000</v>
          </cell>
          <cell r="AB954" t="str">
            <v>dos</v>
          </cell>
        </row>
        <row r="955">
          <cell r="A955" t="str">
            <v>OKKYG</v>
          </cell>
          <cell r="B955" t="str">
            <v>Minuman Okky Jely Drink</v>
          </cell>
          <cell r="C955">
            <v>24</v>
          </cell>
          <cell r="D955" t="str">
            <v>dos</v>
          </cell>
          <cell r="E955">
            <v>20499.599999999999</v>
          </cell>
          <cell r="G955">
            <v>854.15</v>
          </cell>
          <cell r="H955">
            <v>1000</v>
          </cell>
          <cell r="I955" t="str">
            <v>pc</v>
          </cell>
          <cell r="J955">
            <v>1000</v>
          </cell>
          <cell r="K955" t="str">
            <v>pc</v>
          </cell>
          <cell r="L955">
            <v>1000</v>
          </cell>
          <cell r="M955" t="str">
            <v>pc</v>
          </cell>
          <cell r="AA955">
            <v>22000</v>
          </cell>
          <cell r="AB955" t="str">
            <v>dos</v>
          </cell>
        </row>
        <row r="956">
          <cell r="A956" t="str">
            <v>OKKYO</v>
          </cell>
          <cell r="B956" t="str">
            <v>Minuman Okky Jely O JUICE 200 ML</v>
          </cell>
          <cell r="C956">
            <v>24</v>
          </cell>
          <cell r="D956" t="str">
            <v>dos</v>
          </cell>
          <cell r="E956">
            <v>63900.1</v>
          </cell>
          <cell r="F956">
            <v>31950.05</v>
          </cell>
          <cell r="G956">
            <v>2662.5041666666666</v>
          </cell>
        </row>
        <row r="957">
          <cell r="A957" t="str">
            <v>OMURAr</v>
          </cell>
          <cell r="B957" t="str">
            <v>Minuman OMURA</v>
          </cell>
          <cell r="C957">
            <v>6</v>
          </cell>
          <cell r="D957" t="str">
            <v>rtg</v>
          </cell>
          <cell r="E957">
            <v>15500</v>
          </cell>
          <cell r="F957">
            <v>62000</v>
          </cell>
          <cell r="G957">
            <v>2583.3333333333335</v>
          </cell>
          <cell r="N957">
            <v>3500</v>
          </cell>
          <cell r="P957" t="str">
            <v>rtg</v>
          </cell>
        </row>
        <row r="958">
          <cell r="A958" t="str">
            <v>OMURAG</v>
          </cell>
          <cell r="B958" t="str">
            <v>Minuman OMURA gelas</v>
          </cell>
          <cell r="C958">
            <v>1</v>
          </cell>
          <cell r="D958" t="str">
            <v>pak</v>
          </cell>
          <cell r="E958">
            <v>10500</v>
          </cell>
          <cell r="F958">
            <v>105000</v>
          </cell>
          <cell r="G958">
            <v>10500</v>
          </cell>
          <cell r="Q958">
            <v>13000</v>
          </cell>
          <cell r="S958" t="str">
            <v>pak</v>
          </cell>
        </row>
        <row r="959">
          <cell r="A959" t="str">
            <v>ONICOCO</v>
          </cell>
          <cell r="B959" t="str">
            <v>Minuman ONI COCO / ES TELER</v>
          </cell>
          <cell r="C959">
            <v>24</v>
          </cell>
          <cell r="D959" t="str">
            <v>dos</v>
          </cell>
          <cell r="E959">
            <v>19500</v>
          </cell>
          <cell r="G959">
            <v>812.5</v>
          </cell>
          <cell r="AA959">
            <v>21000</v>
          </cell>
          <cell r="AB959" t="str">
            <v>dos</v>
          </cell>
        </row>
        <row r="960">
          <cell r="A960" t="str">
            <v>JINGGO</v>
          </cell>
          <cell r="B960" t="str">
            <v>Minuman JINGGO</v>
          </cell>
          <cell r="C960">
            <v>24</v>
          </cell>
          <cell r="D960" t="str">
            <v>dos</v>
          </cell>
          <cell r="E960">
            <v>20000</v>
          </cell>
          <cell r="G960">
            <v>833.33333333333337</v>
          </cell>
          <cell r="AA960">
            <v>21000</v>
          </cell>
          <cell r="AB960" t="str">
            <v>dos</v>
          </cell>
        </row>
        <row r="961">
          <cell r="A961" t="str">
            <v>OPTIMA</v>
          </cell>
          <cell r="B961" t="str">
            <v>Minuman OPTIMA 250 ML BOTOL</v>
          </cell>
          <cell r="C961">
            <v>24</v>
          </cell>
          <cell r="D961" t="str">
            <v>dos</v>
          </cell>
          <cell r="E961">
            <v>97464.4</v>
          </cell>
          <cell r="F961">
            <v>48732.2</v>
          </cell>
          <cell r="G961">
            <v>4061.0166666666664</v>
          </cell>
          <cell r="H961">
            <v>5000</v>
          </cell>
          <cell r="I961" t="str">
            <v>pc</v>
          </cell>
          <cell r="J961">
            <v>4500</v>
          </cell>
          <cell r="K961" t="str">
            <v>pc</v>
          </cell>
          <cell r="L961">
            <v>4350</v>
          </cell>
          <cell r="M961" t="str">
            <v>pc</v>
          </cell>
          <cell r="T961">
            <v>51000</v>
          </cell>
          <cell r="U961">
            <v>12</v>
          </cell>
          <cell r="V961" t="str">
            <v>lsn</v>
          </cell>
          <cell r="W961">
            <v>4200</v>
          </cell>
          <cell r="X961" t="str">
            <v>pc</v>
          </cell>
          <cell r="Y961">
            <v>4250</v>
          </cell>
          <cell r="Z961" t="str">
            <v>pc</v>
          </cell>
          <cell r="AA961">
            <v>100000</v>
          </cell>
          <cell r="AB961" t="str">
            <v>dos</v>
          </cell>
        </row>
        <row r="962">
          <cell r="A962" t="str">
            <v>POCAri350</v>
          </cell>
          <cell r="B962" t="str">
            <v>Minuman Pocari btl 350 ml/kaleng</v>
          </cell>
          <cell r="C962">
            <v>24</v>
          </cell>
          <cell r="D962" t="str">
            <v>dos</v>
          </cell>
          <cell r="E962">
            <v>116000</v>
          </cell>
          <cell r="F962">
            <v>58000</v>
          </cell>
          <cell r="G962">
            <v>4833.333333333333</v>
          </cell>
          <cell r="H962">
            <v>6000</v>
          </cell>
          <cell r="I962" t="str">
            <v>btl</v>
          </cell>
          <cell r="J962">
            <v>6000</v>
          </cell>
          <cell r="K962" t="str">
            <v>btl</v>
          </cell>
          <cell r="L962">
            <v>5500</v>
          </cell>
          <cell r="M962" t="str">
            <v>btl</v>
          </cell>
          <cell r="T962">
            <v>60000</v>
          </cell>
          <cell r="U962">
            <v>12</v>
          </cell>
          <cell r="V962" t="str">
            <v>lsn</v>
          </cell>
          <cell r="W962">
            <v>4900</v>
          </cell>
          <cell r="X962" t="str">
            <v>btl</v>
          </cell>
          <cell r="Y962">
            <v>5000</v>
          </cell>
          <cell r="Z962" t="str">
            <v>btl</v>
          </cell>
          <cell r="AA962">
            <v>118500</v>
          </cell>
          <cell r="AB962" t="str">
            <v>dos</v>
          </cell>
        </row>
        <row r="963">
          <cell r="A963" t="str">
            <v>POCAri500</v>
          </cell>
          <cell r="B963" t="str">
            <v>Minuman Pocari btl 500 ml</v>
          </cell>
          <cell r="C963">
            <v>24</v>
          </cell>
          <cell r="D963" t="str">
            <v>dos</v>
          </cell>
          <cell r="E963">
            <v>134000</v>
          </cell>
          <cell r="F963">
            <v>67000</v>
          </cell>
          <cell r="G963">
            <v>5583.333333333333</v>
          </cell>
          <cell r="H963">
            <v>7000</v>
          </cell>
          <cell r="I963" t="str">
            <v>btl</v>
          </cell>
          <cell r="J963">
            <v>6100</v>
          </cell>
          <cell r="K963" t="str">
            <v>btl</v>
          </cell>
          <cell r="L963">
            <v>5900</v>
          </cell>
          <cell r="M963" t="str">
            <v>btl</v>
          </cell>
          <cell r="T963">
            <v>70000</v>
          </cell>
          <cell r="U963">
            <v>12</v>
          </cell>
          <cell r="V963" t="str">
            <v>lsn</v>
          </cell>
          <cell r="W963">
            <v>5800</v>
          </cell>
          <cell r="X963" t="str">
            <v>btl</v>
          </cell>
          <cell r="Y963">
            <v>5833.333333333333</v>
          </cell>
          <cell r="Z963" t="str">
            <v>btl</v>
          </cell>
          <cell r="AA963">
            <v>138500</v>
          </cell>
          <cell r="AB963" t="str">
            <v>dos</v>
          </cell>
        </row>
        <row r="964">
          <cell r="A964" t="str">
            <v>POPDRINK</v>
          </cell>
          <cell r="B964" t="str">
            <v>Minuman Pop Drink</v>
          </cell>
          <cell r="C964">
            <v>12</v>
          </cell>
          <cell r="D964" t="str">
            <v>rtg</v>
          </cell>
          <cell r="E964">
            <v>29833.333333333332</v>
          </cell>
          <cell r="F964">
            <v>179000</v>
          </cell>
          <cell r="G964">
            <v>2486.1111111111109</v>
          </cell>
          <cell r="N964">
            <v>3500</v>
          </cell>
          <cell r="O964">
            <v>10</v>
          </cell>
          <cell r="P964" t="str">
            <v>rtg</v>
          </cell>
          <cell r="AA964">
            <v>182000</v>
          </cell>
          <cell r="AB964" t="str">
            <v>dos</v>
          </cell>
        </row>
        <row r="965">
          <cell r="A965" t="str">
            <v>MILKJUS</v>
          </cell>
          <cell r="B965" t="str">
            <v>Minuman Milk Jus</v>
          </cell>
          <cell r="C965">
            <v>4</v>
          </cell>
          <cell r="D965" t="str">
            <v>rtg</v>
          </cell>
          <cell r="E965">
            <v>29900</v>
          </cell>
          <cell r="F965">
            <v>89700</v>
          </cell>
          <cell r="G965">
            <v>7475</v>
          </cell>
          <cell r="H965">
            <v>12000</v>
          </cell>
          <cell r="N965">
            <v>8500</v>
          </cell>
          <cell r="O965">
            <v>10</v>
          </cell>
          <cell r="P965" t="str">
            <v>rtg</v>
          </cell>
        </row>
        <row r="966">
          <cell r="A966" t="str">
            <v>POPICE</v>
          </cell>
          <cell r="B966" t="str">
            <v>Minuman Pop Ice BIASA</v>
          </cell>
          <cell r="C966">
            <v>5</v>
          </cell>
          <cell r="D966" t="str">
            <v>dos</v>
          </cell>
          <cell r="E966">
            <v>48000</v>
          </cell>
          <cell r="F966">
            <v>240000</v>
          </cell>
          <cell r="G966">
            <v>9600</v>
          </cell>
          <cell r="H966">
            <v>72000</v>
          </cell>
          <cell r="N966">
            <v>10000</v>
          </cell>
          <cell r="O966">
            <v>10</v>
          </cell>
          <cell r="P966" t="str">
            <v>rtg</v>
          </cell>
        </row>
        <row r="967">
          <cell r="A967" t="str">
            <v>PROMAN</v>
          </cell>
          <cell r="B967" t="str">
            <v>Minuman Proman</v>
          </cell>
          <cell r="C967">
            <v>24</v>
          </cell>
          <cell r="D967" t="str">
            <v>dos</v>
          </cell>
          <cell r="E967">
            <v>129600</v>
          </cell>
          <cell r="F967">
            <v>64800</v>
          </cell>
          <cell r="G967">
            <v>5400</v>
          </cell>
          <cell r="H967">
            <v>6000</v>
          </cell>
          <cell r="I967" t="str">
            <v>btl</v>
          </cell>
          <cell r="J967">
            <v>5800</v>
          </cell>
          <cell r="K967" t="str">
            <v>btl</v>
          </cell>
          <cell r="L967">
            <v>5700</v>
          </cell>
          <cell r="M967" t="str">
            <v>btl</v>
          </cell>
          <cell r="T967">
            <v>67000</v>
          </cell>
          <cell r="U967">
            <v>12</v>
          </cell>
          <cell r="V967" t="str">
            <v>lsn</v>
          </cell>
          <cell r="W967">
            <v>5550</v>
          </cell>
          <cell r="X967" t="str">
            <v>btl</v>
          </cell>
          <cell r="Y967">
            <v>5583.333333333333</v>
          </cell>
          <cell r="Z967" t="str">
            <v>btl</v>
          </cell>
          <cell r="AA967">
            <v>133000</v>
          </cell>
          <cell r="AB967" t="str">
            <v>dos</v>
          </cell>
        </row>
        <row r="968">
          <cell r="A968" t="str">
            <v>PULPY</v>
          </cell>
          <cell r="B968" t="str">
            <v>Minuman Pulpy Orange isi 12</v>
          </cell>
          <cell r="C968">
            <v>12</v>
          </cell>
          <cell r="D968" t="str">
            <v>dos</v>
          </cell>
          <cell r="E968">
            <v>52000</v>
          </cell>
          <cell r="F968">
            <v>52000</v>
          </cell>
          <cell r="G968">
            <v>4333.333333333333</v>
          </cell>
          <cell r="H968">
            <v>6000</v>
          </cell>
          <cell r="I968" t="str">
            <v>btl</v>
          </cell>
          <cell r="J968">
            <v>5500</v>
          </cell>
          <cell r="K968" t="str">
            <v>btl</v>
          </cell>
          <cell r="L968">
            <v>5000</v>
          </cell>
          <cell r="M968" t="str">
            <v>btl</v>
          </cell>
          <cell r="T968">
            <v>57500</v>
          </cell>
          <cell r="U968">
            <v>12</v>
          </cell>
          <cell r="V968" t="str">
            <v>lsn</v>
          </cell>
          <cell r="W968">
            <v>4700</v>
          </cell>
          <cell r="X968" t="str">
            <v>btl</v>
          </cell>
          <cell r="Y968">
            <v>4800</v>
          </cell>
          <cell r="Z968" t="str">
            <v>btl</v>
          </cell>
          <cell r="AA968">
            <v>57500</v>
          </cell>
          <cell r="AB968" t="str">
            <v>dos</v>
          </cell>
        </row>
        <row r="969">
          <cell r="A969" t="str">
            <v>ACERA</v>
          </cell>
          <cell r="B969" t="str">
            <v>Minuman ACERA Gelas</v>
          </cell>
          <cell r="C969">
            <v>24</v>
          </cell>
          <cell r="D969" t="str">
            <v>dos</v>
          </cell>
          <cell r="E969">
            <v>17500</v>
          </cell>
          <cell r="F969">
            <v>14423.076923076924</v>
          </cell>
          <cell r="G969">
            <v>729.16666666666663</v>
          </cell>
          <cell r="H969">
            <v>19000</v>
          </cell>
          <cell r="I969" t="str">
            <v>dos</v>
          </cell>
          <cell r="J969">
            <v>19000</v>
          </cell>
          <cell r="K969" t="str">
            <v>dos</v>
          </cell>
          <cell r="L969">
            <v>18500</v>
          </cell>
          <cell r="M969" t="str">
            <v>dos</v>
          </cell>
        </row>
        <row r="970">
          <cell r="A970" t="str">
            <v>SABINA</v>
          </cell>
          <cell r="B970" t="str">
            <v>Minuman Sabina Gelas</v>
          </cell>
          <cell r="C970">
            <v>24</v>
          </cell>
          <cell r="D970" t="str">
            <v>dos</v>
          </cell>
          <cell r="E970">
            <v>18000</v>
          </cell>
          <cell r="F970">
            <v>14423.076923076924</v>
          </cell>
          <cell r="G970">
            <v>750</v>
          </cell>
          <cell r="H970">
            <v>20000</v>
          </cell>
          <cell r="I970" t="str">
            <v>dos</v>
          </cell>
          <cell r="J970">
            <v>20000</v>
          </cell>
          <cell r="K970" t="str">
            <v>dos</v>
          </cell>
          <cell r="L970">
            <v>19500</v>
          </cell>
          <cell r="M970" t="str">
            <v>dos</v>
          </cell>
        </row>
        <row r="971">
          <cell r="A971" t="str">
            <v>SARI150</v>
          </cell>
          <cell r="B971" t="str">
            <v>Minuman Sari Kacang Hijau Ultra 150 ml</v>
          </cell>
          <cell r="C971">
            <v>24</v>
          </cell>
          <cell r="D971" t="str">
            <v>dos</v>
          </cell>
          <cell r="E971">
            <v>56600.005000000005</v>
          </cell>
          <cell r="F971">
            <v>28300.002500000002</v>
          </cell>
          <cell r="G971">
            <v>2358.3335416666669</v>
          </cell>
          <cell r="H971">
            <v>3500</v>
          </cell>
          <cell r="I971" t="str">
            <v>ktk</v>
          </cell>
          <cell r="J971">
            <v>3000</v>
          </cell>
          <cell r="K971" t="str">
            <v>ktk</v>
          </cell>
          <cell r="L971">
            <v>2700</v>
          </cell>
          <cell r="M971" t="str">
            <v>ktk</v>
          </cell>
          <cell r="T971">
            <v>31000</v>
          </cell>
          <cell r="U971">
            <v>12</v>
          </cell>
          <cell r="V971" t="str">
            <v>lsn</v>
          </cell>
          <cell r="W971">
            <v>2500</v>
          </cell>
          <cell r="X971" t="str">
            <v>ktk</v>
          </cell>
          <cell r="Y971">
            <v>2583.3333333333335</v>
          </cell>
          <cell r="Z971" t="str">
            <v>ktk</v>
          </cell>
          <cell r="AA971">
            <v>59000</v>
          </cell>
          <cell r="AB971" t="str">
            <v>dos</v>
          </cell>
        </row>
        <row r="972">
          <cell r="A972" t="str">
            <v>SARI250</v>
          </cell>
          <cell r="B972" t="str">
            <v>Minuman Sari Kacang Hijau Utra 250 ml</v>
          </cell>
          <cell r="C972">
            <v>24</v>
          </cell>
          <cell r="D972" t="str">
            <v>dos</v>
          </cell>
          <cell r="E972">
            <v>76800.899999999994</v>
          </cell>
          <cell r="F972">
            <v>38400.449999999997</v>
          </cell>
          <cell r="G972">
            <v>3200.0374999999999</v>
          </cell>
          <cell r="H972">
            <v>5000</v>
          </cell>
          <cell r="I972" t="str">
            <v>ktk</v>
          </cell>
          <cell r="J972">
            <v>4500</v>
          </cell>
          <cell r="K972" t="str">
            <v>ktk</v>
          </cell>
          <cell r="L972">
            <v>3600</v>
          </cell>
          <cell r="M972" t="str">
            <v>ktk</v>
          </cell>
          <cell r="T972">
            <v>41000</v>
          </cell>
          <cell r="U972">
            <v>12</v>
          </cell>
          <cell r="V972" t="str">
            <v>lsn</v>
          </cell>
          <cell r="W972">
            <v>3400</v>
          </cell>
          <cell r="X972" t="str">
            <v>ktk</v>
          </cell>
          <cell r="Y972">
            <v>3416.6666666666665</v>
          </cell>
          <cell r="Z972" t="str">
            <v>ktk</v>
          </cell>
          <cell r="AA972">
            <v>79000</v>
          </cell>
          <cell r="AB972" t="str">
            <v>dos</v>
          </cell>
        </row>
        <row r="973">
          <cell r="A973" t="str">
            <v>ASAM250</v>
          </cell>
          <cell r="B973" t="str">
            <v>Minuman Sari ASAM  250 ml</v>
          </cell>
          <cell r="C973">
            <v>24</v>
          </cell>
          <cell r="D973" t="str">
            <v>dos</v>
          </cell>
          <cell r="E973">
            <v>94700.1</v>
          </cell>
          <cell r="F973">
            <v>47350.05</v>
          </cell>
          <cell r="G973">
            <v>3945.8375000000001</v>
          </cell>
          <cell r="H973">
            <v>5000</v>
          </cell>
          <cell r="I973" t="str">
            <v>ktk</v>
          </cell>
          <cell r="J973">
            <v>5000</v>
          </cell>
          <cell r="K973" t="str">
            <v>ktk</v>
          </cell>
          <cell r="L973">
            <v>4500</v>
          </cell>
          <cell r="M973" t="str">
            <v>ktk</v>
          </cell>
          <cell r="T973">
            <v>50000</v>
          </cell>
          <cell r="U973">
            <v>12</v>
          </cell>
          <cell r="V973" t="str">
            <v>lsn</v>
          </cell>
          <cell r="W973">
            <v>4200</v>
          </cell>
          <cell r="X973" t="str">
            <v>ktk</v>
          </cell>
          <cell r="Y973">
            <v>4300</v>
          </cell>
          <cell r="Z973" t="str">
            <v>ktk</v>
          </cell>
        </row>
        <row r="974">
          <cell r="A974" t="str">
            <v>SEGAR</v>
          </cell>
          <cell r="B974" t="str">
            <v>Minuman Segar Sari</v>
          </cell>
          <cell r="C974">
            <v>6</v>
          </cell>
          <cell r="D974" t="str">
            <v>rtg</v>
          </cell>
          <cell r="E974">
            <v>17000</v>
          </cell>
          <cell r="F974">
            <v>170000</v>
          </cell>
          <cell r="G974">
            <v>2833.3333333333335</v>
          </cell>
          <cell r="N974">
            <v>3500</v>
          </cell>
          <cell r="O974">
            <v>10</v>
          </cell>
          <cell r="P974" t="str">
            <v>rtg</v>
          </cell>
        </row>
        <row r="975">
          <cell r="A975" t="str">
            <v>SOYAk</v>
          </cell>
          <cell r="B975" t="str">
            <v>Minuman Soya botol ABC 200 ml</v>
          </cell>
          <cell r="C975">
            <v>24</v>
          </cell>
          <cell r="D975" t="str">
            <v>dos</v>
          </cell>
          <cell r="E975">
            <v>72163.3</v>
          </cell>
          <cell r="F975">
            <v>36081.65</v>
          </cell>
          <cell r="G975">
            <v>3006.8041666666668</v>
          </cell>
          <cell r="H975">
            <v>4000</v>
          </cell>
          <cell r="I975" t="str">
            <v>pc</v>
          </cell>
          <cell r="J975">
            <v>4000</v>
          </cell>
          <cell r="K975" t="str">
            <v>pc</v>
          </cell>
          <cell r="L975">
            <v>3500</v>
          </cell>
          <cell r="M975" t="str">
            <v>pc</v>
          </cell>
          <cell r="T975">
            <v>39000</v>
          </cell>
          <cell r="U975">
            <v>12</v>
          </cell>
          <cell r="V975" t="str">
            <v>lsn</v>
          </cell>
          <cell r="W975">
            <v>3200</v>
          </cell>
          <cell r="X975" t="str">
            <v>pc</v>
          </cell>
          <cell r="Y975">
            <v>3250</v>
          </cell>
          <cell r="Z975" t="str">
            <v>pc</v>
          </cell>
        </row>
        <row r="976">
          <cell r="A976" t="str">
            <v>SOYAN</v>
          </cell>
          <cell r="B976" t="str">
            <v>Minuman Soya botol NARAYA 330 ml</v>
          </cell>
          <cell r="C976">
            <v>24</v>
          </cell>
          <cell r="D976" t="str">
            <v>dos</v>
          </cell>
          <cell r="E976">
            <v>102000</v>
          </cell>
          <cell r="F976">
            <v>51000</v>
          </cell>
          <cell r="G976">
            <v>4250</v>
          </cell>
          <cell r="H976">
            <v>5000</v>
          </cell>
          <cell r="I976" t="str">
            <v>btl</v>
          </cell>
          <cell r="J976">
            <v>5000</v>
          </cell>
          <cell r="K976" t="str">
            <v>btl</v>
          </cell>
          <cell r="L976">
            <v>4600</v>
          </cell>
          <cell r="M976" t="str">
            <v>btl</v>
          </cell>
          <cell r="T976">
            <v>53500</v>
          </cell>
          <cell r="U976">
            <v>12</v>
          </cell>
          <cell r="V976" t="str">
            <v>lsn</v>
          </cell>
          <cell r="W976">
            <v>4400</v>
          </cell>
          <cell r="X976" t="str">
            <v>btl</v>
          </cell>
          <cell r="Y976">
            <v>4500</v>
          </cell>
          <cell r="Z976" t="str">
            <v>btl</v>
          </cell>
        </row>
        <row r="977">
          <cell r="A977" t="str">
            <v>SOYAM</v>
          </cell>
          <cell r="B977" t="str">
            <v xml:space="preserve">Minuman Soya Milano </v>
          </cell>
          <cell r="C977">
            <v>24</v>
          </cell>
          <cell r="D977" t="str">
            <v>dos</v>
          </cell>
          <cell r="E977">
            <v>98000</v>
          </cell>
          <cell r="F977">
            <v>49000</v>
          </cell>
          <cell r="G977">
            <v>4083.3333333333335</v>
          </cell>
          <cell r="H977">
            <v>5000</v>
          </cell>
          <cell r="J977">
            <v>4800</v>
          </cell>
          <cell r="K977" t="str">
            <v>btl</v>
          </cell>
          <cell r="L977">
            <v>4600</v>
          </cell>
          <cell r="M977" t="str">
            <v>blt</v>
          </cell>
          <cell r="T977">
            <v>53000</v>
          </cell>
          <cell r="V977" t="str">
            <v>lsn</v>
          </cell>
          <cell r="Y977">
            <v>4500</v>
          </cell>
          <cell r="Z977" t="str">
            <v>btl</v>
          </cell>
        </row>
        <row r="978">
          <cell r="A978" t="str">
            <v>TEBS</v>
          </cell>
          <cell r="B978" t="str">
            <v>Minuman Tebs Soda Botol 500 ml</v>
          </cell>
          <cell r="C978">
            <v>24</v>
          </cell>
          <cell r="D978" t="str">
            <v>rtg</v>
          </cell>
          <cell r="E978">
            <v>135000</v>
          </cell>
          <cell r="F978">
            <v>67500</v>
          </cell>
          <cell r="G978">
            <v>5625</v>
          </cell>
          <cell r="H978">
            <v>6500</v>
          </cell>
          <cell r="I978" t="str">
            <v>btl</v>
          </cell>
          <cell r="J978">
            <v>6200</v>
          </cell>
          <cell r="K978" t="str">
            <v>btl</v>
          </cell>
          <cell r="L978">
            <v>6100</v>
          </cell>
          <cell r="M978" t="str">
            <v>btl</v>
          </cell>
          <cell r="T978">
            <v>70000</v>
          </cell>
          <cell r="U978">
            <v>12</v>
          </cell>
          <cell r="V978" t="str">
            <v>lsn</v>
          </cell>
          <cell r="W978">
            <v>5800</v>
          </cell>
          <cell r="X978" t="str">
            <v>btl</v>
          </cell>
          <cell r="Y978">
            <v>5900</v>
          </cell>
          <cell r="Z978" t="str">
            <v>btl</v>
          </cell>
        </row>
        <row r="979">
          <cell r="A979" t="str">
            <v>GELASB</v>
          </cell>
          <cell r="B979" t="str">
            <v>Minuman Teh Gelas Besar 300</v>
          </cell>
          <cell r="C979">
            <v>24</v>
          </cell>
          <cell r="D979" t="str">
            <v>dos</v>
          </cell>
          <cell r="E979">
            <v>34000</v>
          </cell>
          <cell r="F979">
            <v>33000</v>
          </cell>
          <cell r="G979">
            <v>1416.6666666666667</v>
          </cell>
          <cell r="H979">
            <v>2000</v>
          </cell>
          <cell r="I979" t="str">
            <v>pc</v>
          </cell>
          <cell r="J979">
            <v>2000</v>
          </cell>
          <cell r="K979" t="str">
            <v>pc</v>
          </cell>
          <cell r="L979">
            <v>2000</v>
          </cell>
          <cell r="M979" t="str">
            <v>pc</v>
          </cell>
          <cell r="AA979">
            <v>36000</v>
          </cell>
          <cell r="AB979" t="str">
            <v>dos</v>
          </cell>
        </row>
        <row r="980">
          <cell r="A980" t="str">
            <v>GELAS350</v>
          </cell>
          <cell r="B980" t="str">
            <v>Minuman Teh Gelas BOTOL 350 ML</v>
          </cell>
          <cell r="C980">
            <v>24</v>
          </cell>
          <cell r="D980" t="str">
            <v>dos</v>
          </cell>
          <cell r="E980">
            <v>60000</v>
          </cell>
          <cell r="F980">
            <v>30000</v>
          </cell>
          <cell r="G980">
            <v>2500</v>
          </cell>
          <cell r="H980">
            <v>4000</v>
          </cell>
          <cell r="I980" t="str">
            <v>pc</v>
          </cell>
          <cell r="J980">
            <v>3500</v>
          </cell>
          <cell r="K980" t="str">
            <v>pc</v>
          </cell>
          <cell r="L980">
            <v>3000</v>
          </cell>
          <cell r="M980" t="str">
            <v>pc</v>
          </cell>
          <cell r="T980">
            <v>33000</v>
          </cell>
          <cell r="U980">
            <v>12</v>
          </cell>
          <cell r="V980" t="str">
            <v>lsn</v>
          </cell>
          <cell r="AA980">
            <v>63000</v>
          </cell>
          <cell r="AB980" t="str">
            <v>dos</v>
          </cell>
        </row>
        <row r="981">
          <cell r="A981" t="str">
            <v>GELAS</v>
          </cell>
          <cell r="B981" t="str">
            <v>Minuman Teh Gelas/ Fruiz</v>
          </cell>
          <cell r="C981">
            <v>24</v>
          </cell>
          <cell r="D981" t="str">
            <v>dos</v>
          </cell>
          <cell r="E981">
            <v>21000</v>
          </cell>
          <cell r="G981">
            <v>875</v>
          </cell>
          <cell r="H981">
            <v>1000</v>
          </cell>
          <cell r="I981" t="str">
            <v>pc</v>
          </cell>
          <cell r="J981">
            <v>1000</v>
          </cell>
          <cell r="K981" t="str">
            <v>pc</v>
          </cell>
          <cell r="L981">
            <v>1000</v>
          </cell>
          <cell r="M981" t="str">
            <v>pc</v>
          </cell>
          <cell r="AA981">
            <v>22500</v>
          </cell>
          <cell r="AB981" t="str">
            <v>dos</v>
          </cell>
        </row>
        <row r="982">
          <cell r="A982" t="str">
            <v>POWERF</v>
          </cell>
          <cell r="B982" t="str">
            <v>Minuman Gelas POWER F</v>
          </cell>
          <cell r="C982">
            <v>24</v>
          </cell>
          <cell r="D982" t="str">
            <v>dos</v>
          </cell>
          <cell r="E982">
            <v>18900</v>
          </cell>
          <cell r="G982">
            <v>787.5</v>
          </cell>
          <cell r="AA982">
            <v>20000</v>
          </cell>
          <cell r="AB982" t="str">
            <v>dos</v>
          </cell>
        </row>
        <row r="983">
          <cell r="A983" t="str">
            <v>Gelas300</v>
          </cell>
          <cell r="B983" t="str">
            <v>Minuman Teh Gelas 300 ml</v>
          </cell>
          <cell r="C983">
            <v>24</v>
          </cell>
          <cell r="D983" t="str">
            <v>dos</v>
          </cell>
          <cell r="E983">
            <v>33000</v>
          </cell>
          <cell r="G983">
            <v>1375</v>
          </cell>
          <cell r="H983">
            <v>2000</v>
          </cell>
          <cell r="I983" t="str">
            <v>pc</v>
          </cell>
          <cell r="J983">
            <v>2000</v>
          </cell>
          <cell r="K983" t="str">
            <v>pc</v>
          </cell>
          <cell r="L983">
            <v>2000</v>
          </cell>
          <cell r="M983" t="str">
            <v>pc</v>
          </cell>
          <cell r="AA983">
            <v>34500</v>
          </cell>
          <cell r="AB983" t="str">
            <v>dos</v>
          </cell>
        </row>
        <row r="984">
          <cell r="A984" t="str">
            <v>JAVANA</v>
          </cell>
          <cell r="B984" t="str">
            <v>Minuman Teh JAVANA</v>
          </cell>
          <cell r="C984">
            <v>12</v>
          </cell>
          <cell r="D984" t="str">
            <v>btl</v>
          </cell>
          <cell r="E984">
            <v>26000</v>
          </cell>
          <cell r="G984">
            <v>2166.6666666666665</v>
          </cell>
          <cell r="H984">
            <v>3500</v>
          </cell>
          <cell r="I984" t="str">
            <v>pc</v>
          </cell>
          <cell r="J984">
            <v>2800</v>
          </cell>
          <cell r="K984" t="str">
            <v>pc</v>
          </cell>
          <cell r="L984">
            <v>2600</v>
          </cell>
          <cell r="M984" t="str">
            <v>btl</v>
          </cell>
          <cell r="T984">
            <v>29000</v>
          </cell>
          <cell r="U984">
            <v>12</v>
          </cell>
          <cell r="V984" t="str">
            <v>lsn</v>
          </cell>
          <cell r="W984">
            <v>2400</v>
          </cell>
          <cell r="X984" t="str">
            <v>btl</v>
          </cell>
          <cell r="Y984">
            <v>2416.6666666666665</v>
          </cell>
          <cell r="Z984" t="str">
            <v>btl</v>
          </cell>
          <cell r="AA984">
            <v>29000</v>
          </cell>
          <cell r="AB984" t="str">
            <v>dos</v>
          </cell>
        </row>
        <row r="985">
          <cell r="A985" t="str">
            <v>KOTAK500</v>
          </cell>
          <cell r="B985" t="str">
            <v>Minuman Teh Kotak 500 ml</v>
          </cell>
          <cell r="C985">
            <v>12</v>
          </cell>
          <cell r="D985" t="str">
            <v>dos</v>
          </cell>
          <cell r="E985">
            <v>62700</v>
          </cell>
          <cell r="F985">
            <v>62700</v>
          </cell>
          <cell r="G985">
            <v>5225</v>
          </cell>
          <cell r="H985">
            <v>6500</v>
          </cell>
          <cell r="I985" t="str">
            <v>pc</v>
          </cell>
          <cell r="J985">
            <v>6000</v>
          </cell>
          <cell r="K985" t="str">
            <v>pc</v>
          </cell>
          <cell r="L985">
            <v>5700</v>
          </cell>
          <cell r="M985" t="str">
            <v>pc</v>
          </cell>
          <cell r="T985">
            <v>66000</v>
          </cell>
          <cell r="U985">
            <v>12</v>
          </cell>
          <cell r="V985" t="str">
            <v>lsn</v>
          </cell>
          <cell r="W985">
            <v>5400</v>
          </cell>
          <cell r="X985" t="str">
            <v>pc</v>
          </cell>
          <cell r="Y985">
            <v>5500</v>
          </cell>
          <cell r="Z985" t="str">
            <v>pc</v>
          </cell>
          <cell r="AA985">
            <v>66000</v>
          </cell>
          <cell r="AB985" t="str">
            <v>dos</v>
          </cell>
        </row>
        <row r="986">
          <cell r="A986" t="str">
            <v>KOTAK300</v>
          </cell>
          <cell r="B986" t="str">
            <v xml:space="preserve">Minuman Teh Kotak 300 ml </v>
          </cell>
          <cell r="C986">
            <v>24</v>
          </cell>
          <cell r="D986" t="str">
            <v>dos</v>
          </cell>
          <cell r="E986">
            <v>63300.05</v>
          </cell>
          <cell r="F986">
            <v>31650.025000000001</v>
          </cell>
          <cell r="G986">
            <v>2637.5020833333333</v>
          </cell>
          <cell r="H986">
            <v>4000</v>
          </cell>
          <cell r="I986" t="str">
            <v>pc</v>
          </cell>
          <cell r="J986">
            <v>4000</v>
          </cell>
          <cell r="K986" t="str">
            <v>pc</v>
          </cell>
          <cell r="L986">
            <v>3100</v>
          </cell>
          <cell r="M986" t="str">
            <v>pc</v>
          </cell>
          <cell r="T986">
            <v>35000</v>
          </cell>
          <cell r="U986">
            <v>12</v>
          </cell>
          <cell r="V986" t="str">
            <v>lsn</v>
          </cell>
          <cell r="W986">
            <v>2850</v>
          </cell>
          <cell r="X986" t="str">
            <v>pc</v>
          </cell>
          <cell r="Y986">
            <v>2900</v>
          </cell>
          <cell r="Z986" t="str">
            <v>pc</v>
          </cell>
          <cell r="AA986">
            <v>66000</v>
          </cell>
          <cell r="AB986" t="str">
            <v>dos</v>
          </cell>
        </row>
        <row r="987">
          <cell r="A987" t="str">
            <v>KOTAK200</v>
          </cell>
          <cell r="B987" t="str">
            <v xml:space="preserve">Minuman Teh Kotak 200 ml </v>
          </cell>
          <cell r="C987">
            <v>24</v>
          </cell>
          <cell r="D987" t="str">
            <v>dos</v>
          </cell>
          <cell r="E987">
            <v>50000.005000000005</v>
          </cell>
          <cell r="F987">
            <v>25000.002500000002</v>
          </cell>
          <cell r="G987">
            <v>2083.3335416666669</v>
          </cell>
          <cell r="H987">
            <v>3000</v>
          </cell>
          <cell r="I987" t="str">
            <v>pc</v>
          </cell>
          <cell r="J987">
            <v>3000</v>
          </cell>
          <cell r="K987" t="str">
            <v>pc</v>
          </cell>
          <cell r="L987">
            <v>2500</v>
          </cell>
          <cell r="M987" t="str">
            <v>pc</v>
          </cell>
          <cell r="T987">
            <v>27500</v>
          </cell>
          <cell r="U987">
            <v>12</v>
          </cell>
          <cell r="V987" t="str">
            <v>lsn</v>
          </cell>
          <cell r="W987">
            <v>2250</v>
          </cell>
          <cell r="X987" t="str">
            <v>pc</v>
          </cell>
          <cell r="Y987">
            <v>2300</v>
          </cell>
          <cell r="Z987" t="str">
            <v>pc</v>
          </cell>
          <cell r="AA987">
            <v>53000</v>
          </cell>
          <cell r="AB987" t="str">
            <v>dos</v>
          </cell>
        </row>
        <row r="988">
          <cell r="A988" t="str">
            <v>PUCUKK</v>
          </cell>
          <cell r="B988" t="str">
            <v>Minuman Teh Pucuk Harum 350 ml</v>
          </cell>
          <cell r="C988">
            <v>24</v>
          </cell>
          <cell r="D988" t="str">
            <v>btl</v>
          </cell>
          <cell r="E988">
            <v>57000</v>
          </cell>
          <cell r="F988">
            <v>28500</v>
          </cell>
          <cell r="G988">
            <v>2375</v>
          </cell>
          <cell r="H988">
            <v>4000</v>
          </cell>
          <cell r="I988" t="str">
            <v>pc</v>
          </cell>
          <cell r="J988">
            <v>3500</v>
          </cell>
          <cell r="K988" t="str">
            <v>pc</v>
          </cell>
          <cell r="L988">
            <v>2700</v>
          </cell>
          <cell r="M988" t="str">
            <v>btl</v>
          </cell>
          <cell r="T988">
            <v>30000</v>
          </cell>
          <cell r="U988">
            <v>12</v>
          </cell>
          <cell r="V988" t="str">
            <v>lsn</v>
          </cell>
          <cell r="W988">
            <v>2450</v>
          </cell>
          <cell r="X988" t="str">
            <v>btl</v>
          </cell>
          <cell r="Y988">
            <v>2500</v>
          </cell>
          <cell r="Z988" t="str">
            <v>btl</v>
          </cell>
          <cell r="AA988">
            <v>58000</v>
          </cell>
          <cell r="AB988" t="str">
            <v>dos</v>
          </cell>
        </row>
        <row r="989">
          <cell r="A989" t="str">
            <v>PUCUKB</v>
          </cell>
          <cell r="B989" t="str">
            <v>Minuman Teh Pucuk Harum 480 ml</v>
          </cell>
          <cell r="C989">
            <v>12</v>
          </cell>
          <cell r="D989" t="str">
            <v>btl</v>
          </cell>
          <cell r="E989">
            <v>60000</v>
          </cell>
          <cell r="G989">
            <v>5000</v>
          </cell>
          <cell r="H989">
            <v>6000</v>
          </cell>
          <cell r="I989" t="str">
            <v>pc</v>
          </cell>
          <cell r="J989">
            <v>5500</v>
          </cell>
          <cell r="K989" t="str">
            <v>pc</v>
          </cell>
          <cell r="L989">
            <v>5300</v>
          </cell>
          <cell r="M989" t="str">
            <v>btl</v>
          </cell>
          <cell r="T989">
            <v>63000</v>
          </cell>
          <cell r="U989">
            <v>12</v>
          </cell>
          <cell r="V989" t="str">
            <v>lsn</v>
          </cell>
          <cell r="X989" t="str">
            <v>btl</v>
          </cell>
          <cell r="Y989">
            <v>5250</v>
          </cell>
          <cell r="Z989" t="str">
            <v>btl</v>
          </cell>
          <cell r="AA989">
            <v>63000</v>
          </cell>
          <cell r="AB989" t="str">
            <v>dos</v>
          </cell>
        </row>
        <row r="990">
          <cell r="A990" t="str">
            <v>RIO</v>
          </cell>
          <cell r="B990" t="str">
            <v>Minuman Teh Rio</v>
          </cell>
          <cell r="C990">
            <v>24</v>
          </cell>
          <cell r="D990" t="str">
            <v>pcs</v>
          </cell>
          <cell r="E990">
            <v>19200</v>
          </cell>
          <cell r="G990">
            <v>800</v>
          </cell>
          <cell r="AA990">
            <v>21000</v>
          </cell>
          <cell r="AB990" t="str">
            <v>dos</v>
          </cell>
        </row>
        <row r="991">
          <cell r="A991" t="str">
            <v>SISRIB</v>
          </cell>
          <cell r="B991" t="str">
            <v>Minuman Teh Sisri BOTOL</v>
          </cell>
          <cell r="C991">
            <v>12</v>
          </cell>
          <cell r="D991" t="str">
            <v>btl</v>
          </cell>
          <cell r="E991">
            <v>28000</v>
          </cell>
          <cell r="F991">
            <v>33000</v>
          </cell>
          <cell r="G991">
            <v>2333.3333333333335</v>
          </cell>
          <cell r="H991">
            <v>3500</v>
          </cell>
          <cell r="I991" t="str">
            <v>pc</v>
          </cell>
          <cell r="J991">
            <v>3000</v>
          </cell>
          <cell r="K991" t="str">
            <v>btl</v>
          </cell>
          <cell r="L991">
            <v>2600</v>
          </cell>
          <cell r="M991" t="str">
            <v>btl</v>
          </cell>
          <cell r="T991">
            <v>30000</v>
          </cell>
          <cell r="U991">
            <v>12</v>
          </cell>
          <cell r="V991" t="str">
            <v>btl</v>
          </cell>
          <cell r="W991">
            <v>2450</v>
          </cell>
          <cell r="Y991">
            <v>2500</v>
          </cell>
          <cell r="Z991" t="str">
            <v>btl</v>
          </cell>
          <cell r="AA991">
            <v>30000</v>
          </cell>
          <cell r="AB991" t="str">
            <v>dos</v>
          </cell>
        </row>
        <row r="992">
          <cell r="A992" t="str">
            <v>SISRIr</v>
          </cell>
          <cell r="B992" t="str">
            <v>Minuman Teh Sisri RETENG</v>
          </cell>
          <cell r="C992">
            <v>12</v>
          </cell>
          <cell r="D992" t="str">
            <v>rtg</v>
          </cell>
          <cell r="E992">
            <v>2916.6666666666665</v>
          </cell>
          <cell r="F992">
            <v>210000</v>
          </cell>
          <cell r="G992">
            <v>243.05555555555554</v>
          </cell>
          <cell r="H992">
            <v>3500</v>
          </cell>
          <cell r="J992">
            <v>3500</v>
          </cell>
          <cell r="L992">
            <v>3500</v>
          </cell>
          <cell r="N992">
            <v>3500</v>
          </cell>
          <cell r="O992">
            <v>10</v>
          </cell>
          <cell r="P992" t="str">
            <v>rtg</v>
          </cell>
        </row>
        <row r="993">
          <cell r="A993" t="str">
            <v>TEAJUS</v>
          </cell>
          <cell r="B993" t="str">
            <v>Minuman TEAJUS</v>
          </cell>
          <cell r="C993">
            <v>6</v>
          </cell>
          <cell r="D993" t="str">
            <v>rtg</v>
          </cell>
          <cell r="E993">
            <v>17100</v>
          </cell>
          <cell r="F993">
            <v>102600</v>
          </cell>
          <cell r="G993">
            <v>2850</v>
          </cell>
          <cell r="N993">
            <v>3500</v>
          </cell>
          <cell r="O993">
            <v>10</v>
          </cell>
          <cell r="P993" t="str">
            <v>rtg</v>
          </cell>
        </row>
        <row r="994">
          <cell r="A994" t="str">
            <v>SOSRO</v>
          </cell>
          <cell r="B994" t="str">
            <v>Minuman Teh SOSRO 500 ml</v>
          </cell>
          <cell r="C994">
            <v>24</v>
          </cell>
          <cell r="D994" t="str">
            <v>dos</v>
          </cell>
          <cell r="E994">
            <v>120000</v>
          </cell>
          <cell r="F994">
            <v>60000</v>
          </cell>
          <cell r="G994">
            <v>5000</v>
          </cell>
        </row>
        <row r="995">
          <cell r="A995" t="str">
            <v>TOPICE</v>
          </cell>
          <cell r="B995" t="str">
            <v>Minuman Top Ice</v>
          </cell>
          <cell r="C995">
            <v>12</v>
          </cell>
          <cell r="D995" t="str">
            <v>rtg</v>
          </cell>
          <cell r="E995">
            <v>32500</v>
          </cell>
          <cell r="F995">
            <v>195000</v>
          </cell>
          <cell r="G995">
            <v>2708.3333333333335</v>
          </cell>
          <cell r="N995">
            <v>3500</v>
          </cell>
          <cell r="O995">
            <v>10</v>
          </cell>
          <cell r="P995" t="str">
            <v>rtg</v>
          </cell>
        </row>
        <row r="996">
          <cell r="A996" t="str">
            <v>TROBOS</v>
          </cell>
          <cell r="B996" t="str">
            <v>Minuman Trobos</v>
          </cell>
          <cell r="C996">
            <v>12</v>
          </cell>
          <cell r="D996" t="str">
            <v>rtg</v>
          </cell>
          <cell r="E996">
            <v>26000</v>
          </cell>
          <cell r="F996">
            <v>156000</v>
          </cell>
          <cell r="G996">
            <v>2166.6666666666665</v>
          </cell>
        </row>
        <row r="997">
          <cell r="A997" t="str">
            <v>ZODA</v>
          </cell>
          <cell r="B997" t="str">
            <v>Minuman Zoda air zoda</v>
          </cell>
          <cell r="C997">
            <v>24</v>
          </cell>
          <cell r="D997" t="str">
            <v>dos</v>
          </cell>
          <cell r="E997">
            <v>95000</v>
          </cell>
          <cell r="F997">
            <v>47500</v>
          </cell>
          <cell r="G997">
            <v>3958.3333333333335</v>
          </cell>
          <cell r="H997">
            <v>5000</v>
          </cell>
          <cell r="I997" t="str">
            <v>btl</v>
          </cell>
          <cell r="J997">
            <v>4500</v>
          </cell>
          <cell r="K997" t="str">
            <v>btl</v>
          </cell>
          <cell r="L997">
            <v>4300</v>
          </cell>
          <cell r="M997" t="str">
            <v>btl</v>
          </cell>
          <cell r="T997">
            <v>50000</v>
          </cell>
          <cell r="U997">
            <v>12</v>
          </cell>
          <cell r="V997" t="str">
            <v>lsn</v>
          </cell>
          <cell r="W997">
            <v>4150</v>
          </cell>
          <cell r="X997" t="str">
            <v>btl</v>
          </cell>
          <cell r="Y997">
            <v>4166.666666666667</v>
          </cell>
          <cell r="Z997" t="str">
            <v>btl</v>
          </cell>
          <cell r="AA997">
            <v>98000</v>
          </cell>
          <cell r="AB997" t="str">
            <v>dos</v>
          </cell>
        </row>
        <row r="998">
          <cell r="A998" t="str">
            <v>COTTONBUD</v>
          </cell>
          <cell r="B998" t="str">
            <v>COTTON BUDS</v>
          </cell>
          <cell r="C998">
            <v>288</v>
          </cell>
          <cell r="D998" t="str">
            <v>pcs</v>
          </cell>
          <cell r="E998">
            <v>1219660</v>
          </cell>
          <cell r="F998">
            <v>50819.166666666672</v>
          </cell>
          <cell r="G998">
            <v>4234.9305555555557</v>
          </cell>
          <cell r="H998">
            <v>5500</v>
          </cell>
          <cell r="I998" t="str">
            <v>pc</v>
          </cell>
          <cell r="J998">
            <v>5500</v>
          </cell>
          <cell r="K998" t="str">
            <v>pc</v>
          </cell>
          <cell r="L998">
            <v>5000</v>
          </cell>
          <cell r="M998" t="str">
            <v>pc</v>
          </cell>
        </row>
        <row r="999">
          <cell r="A999" t="str">
            <v>MOLTOC1</v>
          </cell>
          <cell r="B999" t="str">
            <v>Molto Deterjen 40 gr</v>
          </cell>
          <cell r="C999">
            <v>6</v>
          </cell>
          <cell r="D999" t="str">
            <v>pcs</v>
          </cell>
          <cell r="E999">
            <v>4620</v>
          </cell>
          <cell r="F999">
            <v>92400</v>
          </cell>
          <cell r="G999">
            <v>770</v>
          </cell>
          <cell r="N999">
            <v>5500</v>
          </cell>
          <cell r="O999">
            <v>6</v>
          </cell>
          <cell r="P999" t="str">
            <v>rtg</v>
          </cell>
        </row>
        <row r="1000">
          <cell r="A1000" t="str">
            <v>MOLTOB1</v>
          </cell>
          <cell r="B1000" t="str">
            <v>Molto Deterjen cair 38 ml</v>
          </cell>
          <cell r="C1000">
            <v>6</v>
          </cell>
          <cell r="D1000" t="str">
            <v>pcs</v>
          </cell>
          <cell r="E1000">
            <v>4620</v>
          </cell>
          <cell r="F1000">
            <v>110880</v>
          </cell>
          <cell r="G1000">
            <v>770</v>
          </cell>
          <cell r="N1000">
            <v>5500</v>
          </cell>
          <cell r="O1000">
            <v>6</v>
          </cell>
          <cell r="P1000" t="str">
            <v>rtg</v>
          </cell>
        </row>
        <row r="1001">
          <cell r="A1001" t="str">
            <v>MOLTOC700</v>
          </cell>
          <cell r="B1001" t="str">
            <v>Molto Deterjen cair 700 ml</v>
          </cell>
          <cell r="C1001">
            <v>12</v>
          </cell>
          <cell r="D1001" t="str">
            <v>pcs</v>
          </cell>
          <cell r="E1001">
            <v>211800</v>
          </cell>
          <cell r="G1001">
            <v>17650</v>
          </cell>
          <cell r="H1001">
            <v>19000</v>
          </cell>
          <cell r="I1001" t="str">
            <v>pc</v>
          </cell>
          <cell r="J1001">
            <v>18500</v>
          </cell>
          <cell r="K1001" t="str">
            <v>pc</v>
          </cell>
        </row>
        <row r="1002">
          <cell r="A1002" t="str">
            <v>MOLTOB700</v>
          </cell>
          <cell r="B1002" t="str">
            <v>Molto Deterjen Bubuk 700 ml</v>
          </cell>
          <cell r="C1002">
            <v>12</v>
          </cell>
          <cell r="D1002" t="str">
            <v>pcs</v>
          </cell>
          <cell r="E1002">
            <v>205200</v>
          </cell>
          <cell r="G1002">
            <v>17100</v>
          </cell>
          <cell r="H1002">
            <v>18500</v>
          </cell>
          <cell r="I1002" t="str">
            <v>pc</v>
          </cell>
          <cell r="J1002">
            <v>18000</v>
          </cell>
          <cell r="K1002" t="str">
            <v>pc</v>
          </cell>
        </row>
        <row r="1003">
          <cell r="A1003" t="str">
            <v>PWG1800</v>
          </cell>
          <cell r="B1003" t="str">
            <v>Molto Pewangi 1800 ml reff</v>
          </cell>
          <cell r="C1003">
            <v>12</v>
          </cell>
          <cell r="D1003" t="str">
            <v>pcs</v>
          </cell>
          <cell r="E1003">
            <v>207000</v>
          </cell>
          <cell r="F1003">
            <v>103500</v>
          </cell>
          <cell r="G1003">
            <v>17250</v>
          </cell>
          <cell r="H1003">
            <v>18500</v>
          </cell>
          <cell r="I1003" t="str">
            <v>pc</v>
          </cell>
          <cell r="J1003">
            <v>18000</v>
          </cell>
          <cell r="K1003" t="str">
            <v>pc</v>
          </cell>
          <cell r="L1003">
            <v>17600</v>
          </cell>
          <cell r="M1003" t="str">
            <v>pc</v>
          </cell>
          <cell r="T1003">
            <v>210000</v>
          </cell>
          <cell r="U1003">
            <v>12</v>
          </cell>
          <cell r="V1003" t="str">
            <v>lsn</v>
          </cell>
          <cell r="W1003">
            <v>17400</v>
          </cell>
          <cell r="X1003" t="str">
            <v>pc</v>
          </cell>
          <cell r="Y1003">
            <v>17500</v>
          </cell>
          <cell r="Z1003" t="str">
            <v>pc</v>
          </cell>
          <cell r="AA1003">
            <v>104000</v>
          </cell>
          <cell r="AB1003" t="str">
            <v>dos</v>
          </cell>
        </row>
        <row r="1004">
          <cell r="A1004" t="str">
            <v>PWG900</v>
          </cell>
          <cell r="B1004" t="str">
            <v>Molto Pewangi 900 ml Refill</v>
          </cell>
          <cell r="C1004">
            <v>12</v>
          </cell>
          <cell r="D1004" t="str">
            <v>pcs</v>
          </cell>
          <cell r="E1004">
            <v>115200</v>
          </cell>
          <cell r="G1004">
            <v>9600</v>
          </cell>
          <cell r="H1004">
            <v>11000</v>
          </cell>
          <cell r="I1004" t="str">
            <v>pc</v>
          </cell>
          <cell r="J1004">
            <v>10500</v>
          </cell>
          <cell r="K1004" t="str">
            <v>pc</v>
          </cell>
          <cell r="L1004">
            <v>9900</v>
          </cell>
          <cell r="M1004" t="str">
            <v>pc</v>
          </cell>
          <cell r="T1004">
            <v>118500</v>
          </cell>
          <cell r="U1004">
            <v>12</v>
          </cell>
          <cell r="V1004" t="str">
            <v>lsn</v>
          </cell>
          <cell r="W1004">
            <v>9850</v>
          </cell>
          <cell r="X1004" t="str">
            <v>pc</v>
          </cell>
          <cell r="Y1004">
            <v>9875</v>
          </cell>
          <cell r="Z1004" t="str">
            <v>pc</v>
          </cell>
          <cell r="AA1004">
            <v>118500</v>
          </cell>
          <cell r="AB1004" t="str">
            <v>dos</v>
          </cell>
        </row>
        <row r="1005">
          <cell r="A1005" t="str">
            <v>PWG450</v>
          </cell>
          <cell r="B1005" t="str">
            <v>Molto pwg 450 ml reff</v>
          </cell>
          <cell r="C1005">
            <v>24</v>
          </cell>
          <cell r="D1005" t="str">
            <v>pcs</v>
          </cell>
          <cell r="E1005">
            <v>126000</v>
          </cell>
          <cell r="F1005">
            <v>63000</v>
          </cell>
          <cell r="G1005">
            <v>5250</v>
          </cell>
          <cell r="H1005">
            <v>6500</v>
          </cell>
          <cell r="I1005" t="str">
            <v>pc</v>
          </cell>
          <cell r="J1005">
            <v>6000</v>
          </cell>
          <cell r="K1005" t="str">
            <v>pc</v>
          </cell>
          <cell r="L1005">
            <v>5600</v>
          </cell>
          <cell r="M1005" t="str">
            <v>pc</v>
          </cell>
          <cell r="T1005">
            <v>65500</v>
          </cell>
          <cell r="U1005">
            <v>12</v>
          </cell>
          <cell r="V1005" t="str">
            <v>lsn</v>
          </cell>
          <cell r="W1005">
            <v>5400</v>
          </cell>
          <cell r="X1005" t="str">
            <v>pc</v>
          </cell>
          <cell r="Y1005">
            <v>5458.333333333333</v>
          </cell>
          <cell r="Z1005" t="str">
            <v>pc</v>
          </cell>
          <cell r="AB1005" t="str">
            <v>dos</v>
          </cell>
        </row>
        <row r="1006">
          <cell r="A1006" t="str">
            <v>TRIKA400</v>
          </cell>
          <cell r="B1006" t="str">
            <v>Molto Trika 400 ml reff</v>
          </cell>
          <cell r="C1006">
            <v>12</v>
          </cell>
          <cell r="D1006" t="str">
            <v>pcs</v>
          </cell>
          <cell r="E1006">
            <v>57600</v>
          </cell>
          <cell r="G1006">
            <v>4800</v>
          </cell>
          <cell r="H1006">
            <v>5500</v>
          </cell>
          <cell r="I1006" t="str">
            <v>pc</v>
          </cell>
          <cell r="J1006">
            <v>5500</v>
          </cell>
          <cell r="K1006" t="str">
            <v>pc</v>
          </cell>
          <cell r="L1006">
            <v>5100</v>
          </cell>
          <cell r="M1006" t="str">
            <v>pc</v>
          </cell>
          <cell r="T1006">
            <v>59500</v>
          </cell>
          <cell r="U1006">
            <v>12</v>
          </cell>
          <cell r="V1006" t="str">
            <v>lsn</v>
          </cell>
          <cell r="W1006">
            <v>4950</v>
          </cell>
          <cell r="X1006" t="str">
            <v>pc</v>
          </cell>
          <cell r="Y1006">
            <v>4958.333333333333</v>
          </cell>
          <cell r="Z1006" t="str">
            <v>pc</v>
          </cell>
          <cell r="AA1006">
            <v>59500</v>
          </cell>
          <cell r="AB1006" t="str">
            <v>dos</v>
          </cell>
        </row>
        <row r="1007">
          <cell r="A1007" t="str">
            <v>TRIKA500</v>
          </cell>
          <cell r="B1007" t="str">
            <v>Molto Trika 500 ml Btl</v>
          </cell>
          <cell r="C1007">
            <v>6</v>
          </cell>
          <cell r="D1007" t="str">
            <v>btl</v>
          </cell>
          <cell r="E1007">
            <v>73801.2</v>
          </cell>
          <cell r="G1007">
            <v>12300.199999999999</v>
          </cell>
        </row>
        <row r="1008">
          <cell r="A1008" t="str">
            <v>ULTRARE</v>
          </cell>
          <cell r="B1008" t="str">
            <v>Molto ultra Biasa Reff</v>
          </cell>
          <cell r="C1008">
            <v>12</v>
          </cell>
          <cell r="D1008" t="str">
            <v>btl</v>
          </cell>
          <cell r="E1008">
            <v>86394</v>
          </cell>
          <cell r="G1008">
            <v>7199.5</v>
          </cell>
          <cell r="H1008">
            <v>8000</v>
          </cell>
          <cell r="I1008" t="str">
            <v>pc</v>
          </cell>
          <cell r="J1008">
            <v>7800</v>
          </cell>
          <cell r="K1008" t="str">
            <v>pc</v>
          </cell>
          <cell r="L1008">
            <v>7600</v>
          </cell>
          <cell r="M1008" t="str">
            <v>pc</v>
          </cell>
          <cell r="T1008">
            <v>89000</v>
          </cell>
          <cell r="U1008">
            <v>12</v>
          </cell>
          <cell r="V1008" t="str">
            <v>lsn</v>
          </cell>
          <cell r="W1008">
            <v>7416.666666666667</v>
          </cell>
          <cell r="X1008" t="str">
            <v>pc</v>
          </cell>
          <cell r="Y1008">
            <v>7500</v>
          </cell>
          <cell r="Z1008" t="str">
            <v>pc</v>
          </cell>
        </row>
        <row r="1009">
          <cell r="A1009" t="str">
            <v>ULTRA800b</v>
          </cell>
          <cell r="B1009" t="str">
            <v>Molto ultra Sekali Bilas Botol 800 ml</v>
          </cell>
          <cell r="C1009">
            <v>3</v>
          </cell>
          <cell r="D1009" t="str">
            <v>btl</v>
          </cell>
          <cell r="E1009">
            <v>74450</v>
          </cell>
          <cell r="F1009">
            <v>297800</v>
          </cell>
          <cell r="G1009">
            <v>24816.666666666668</v>
          </cell>
          <cell r="H1009">
            <v>26500</v>
          </cell>
          <cell r="I1009" t="str">
            <v>pc</v>
          </cell>
          <cell r="J1009">
            <v>26500</v>
          </cell>
          <cell r="K1009" t="str">
            <v>pc</v>
          </cell>
          <cell r="L1009">
            <v>26500</v>
          </cell>
          <cell r="M1009" t="str">
            <v>pc</v>
          </cell>
          <cell r="T1009">
            <v>300000</v>
          </cell>
          <cell r="U1009">
            <v>12</v>
          </cell>
          <cell r="V1009" t="str">
            <v>lsn</v>
          </cell>
          <cell r="W1009">
            <v>25000</v>
          </cell>
          <cell r="X1009" t="str">
            <v>pc</v>
          </cell>
          <cell r="Y1009">
            <v>25500</v>
          </cell>
          <cell r="Z1009" t="str">
            <v>pc</v>
          </cell>
        </row>
        <row r="1010">
          <cell r="A1010" t="str">
            <v>ULTRA1800</v>
          </cell>
          <cell r="B1010" t="str">
            <v>Molto ultra Sekali Bilas1800 ml reff</v>
          </cell>
          <cell r="C1010">
            <v>6</v>
          </cell>
          <cell r="D1010" t="str">
            <v>btl</v>
          </cell>
          <cell r="E1010">
            <v>299700</v>
          </cell>
          <cell r="F1010">
            <v>599400</v>
          </cell>
          <cell r="G1010">
            <v>49950</v>
          </cell>
          <cell r="H1010">
            <v>53000</v>
          </cell>
          <cell r="I1010" t="str">
            <v>pc</v>
          </cell>
          <cell r="J1010">
            <v>52500</v>
          </cell>
          <cell r="K1010" t="str">
            <v>pc</v>
          </cell>
          <cell r="L1010">
            <v>52000</v>
          </cell>
          <cell r="M1010" t="str">
            <v>pc</v>
          </cell>
        </row>
        <row r="1011">
          <cell r="A1011" t="str">
            <v>ULTRA10</v>
          </cell>
          <cell r="B1011" t="str">
            <v>Molto Ultra Sekali Bilas Rtg 10 ml</v>
          </cell>
          <cell r="C1011">
            <v>12</v>
          </cell>
          <cell r="D1011" t="str">
            <v>rtg</v>
          </cell>
          <cell r="E1011">
            <v>6000</v>
          </cell>
          <cell r="F1011">
            <v>72000</v>
          </cell>
          <cell r="G1011">
            <v>500</v>
          </cell>
          <cell r="N1011">
            <v>6000</v>
          </cell>
          <cell r="O1011">
            <v>12</v>
          </cell>
          <cell r="P1011" t="str">
            <v>rtg</v>
          </cell>
        </row>
        <row r="1012">
          <cell r="A1012" t="str">
            <v>ULTRA20</v>
          </cell>
          <cell r="B1012" t="str">
            <v>Molto Ultra Sekali Bilas Rtg 20 ml</v>
          </cell>
          <cell r="C1012">
            <v>6</v>
          </cell>
          <cell r="D1012" t="str">
            <v>rtg</v>
          </cell>
          <cell r="E1012">
            <v>4800</v>
          </cell>
          <cell r="F1012">
            <v>172800</v>
          </cell>
          <cell r="G1012">
            <v>800</v>
          </cell>
          <cell r="N1012">
            <v>6000</v>
          </cell>
          <cell r="O1012">
            <v>12</v>
          </cell>
          <cell r="P1012" t="str">
            <v>rtg</v>
          </cell>
        </row>
        <row r="1013">
          <cell r="A1013" t="str">
            <v>ULTRA300R</v>
          </cell>
          <cell r="B1013" t="str">
            <v>Molto ultra sekali bilas Sensasi ref 300 ml</v>
          </cell>
          <cell r="C1013">
            <v>24</v>
          </cell>
          <cell r="D1013" t="str">
            <v>pcs</v>
          </cell>
          <cell r="E1013">
            <v>229800</v>
          </cell>
          <cell r="F1013">
            <v>114900</v>
          </cell>
          <cell r="G1013">
            <v>9575</v>
          </cell>
          <cell r="H1013">
            <v>11000</v>
          </cell>
          <cell r="I1013" t="str">
            <v>pc</v>
          </cell>
          <cell r="J1013">
            <v>10500</v>
          </cell>
          <cell r="K1013" t="str">
            <v>pc</v>
          </cell>
          <cell r="L1013">
            <v>9900</v>
          </cell>
          <cell r="M1013" t="str">
            <v>pc</v>
          </cell>
          <cell r="T1013">
            <v>117000</v>
          </cell>
          <cell r="U1013">
            <v>12</v>
          </cell>
          <cell r="V1013" t="str">
            <v>lsn</v>
          </cell>
          <cell r="W1013">
            <v>9700</v>
          </cell>
          <cell r="X1013" t="str">
            <v>pc</v>
          </cell>
          <cell r="Y1013">
            <v>9750</v>
          </cell>
          <cell r="Z1013" t="str">
            <v>pc</v>
          </cell>
          <cell r="AA1013">
            <v>232000</v>
          </cell>
          <cell r="AB1013" t="str">
            <v>dos</v>
          </cell>
        </row>
        <row r="1014">
          <cell r="A1014" t="str">
            <v>ULTRA900R</v>
          </cell>
          <cell r="B1014" t="str">
            <v>Molto ultra sekali bilas Sensasi ref 900 ml</v>
          </cell>
          <cell r="C1014">
            <v>12</v>
          </cell>
          <cell r="D1014" t="str">
            <v>pcs</v>
          </cell>
          <cell r="E1014">
            <v>310200</v>
          </cell>
          <cell r="G1014">
            <v>25850</v>
          </cell>
          <cell r="H1014">
            <v>27500</v>
          </cell>
          <cell r="I1014" t="str">
            <v>pc</v>
          </cell>
          <cell r="J1014">
            <v>27000</v>
          </cell>
          <cell r="K1014" t="str">
            <v>pc</v>
          </cell>
          <cell r="L1014">
            <v>26500</v>
          </cell>
          <cell r="M1014" t="str">
            <v>pc</v>
          </cell>
          <cell r="T1014">
            <v>314000</v>
          </cell>
          <cell r="U1014">
            <v>12</v>
          </cell>
          <cell r="V1014" t="str">
            <v>lsn</v>
          </cell>
          <cell r="W1014">
            <v>26000</v>
          </cell>
          <cell r="X1014" t="str">
            <v>pc</v>
          </cell>
          <cell r="Y1014">
            <v>26166.666666666668</v>
          </cell>
          <cell r="Z1014" t="str">
            <v>pc</v>
          </cell>
          <cell r="AA1014">
            <v>314000</v>
          </cell>
          <cell r="AB1014" t="str">
            <v>dos</v>
          </cell>
        </row>
        <row r="1015">
          <cell r="A1015" t="str">
            <v>MORISON</v>
          </cell>
          <cell r="B1015" t="str">
            <v>Morison</v>
          </cell>
          <cell r="C1015">
            <v>12</v>
          </cell>
          <cell r="D1015" t="str">
            <v>pcs</v>
          </cell>
          <cell r="E1015">
            <v>65000</v>
          </cell>
          <cell r="F1015">
            <v>19150</v>
          </cell>
          <cell r="G1015">
            <v>5416.666666666667</v>
          </cell>
          <cell r="H1015">
            <v>6500</v>
          </cell>
          <cell r="I1015" t="str">
            <v>btl</v>
          </cell>
          <cell r="J1015">
            <v>6500</v>
          </cell>
          <cell r="K1015" t="str">
            <v>btl</v>
          </cell>
          <cell r="L1015">
            <v>6000</v>
          </cell>
          <cell r="M1015" t="str">
            <v>btl</v>
          </cell>
        </row>
        <row r="1016">
          <cell r="A1016" t="str">
            <v>ROSEG</v>
          </cell>
          <cell r="B1016" t="str">
            <v>Myk. G Rose Brand 220 ML</v>
          </cell>
          <cell r="C1016">
            <v>48</v>
          </cell>
          <cell r="D1016" t="str">
            <v>dos</v>
          </cell>
          <cell r="E1016">
            <v>124500</v>
          </cell>
          <cell r="F1016">
            <v>31125</v>
          </cell>
          <cell r="G1016">
            <v>2593.75</v>
          </cell>
          <cell r="H1016">
            <v>3500</v>
          </cell>
          <cell r="I1016" t="str">
            <v>pc</v>
          </cell>
          <cell r="J1016">
            <v>3300</v>
          </cell>
          <cell r="K1016" t="str">
            <v>pc</v>
          </cell>
          <cell r="L1016">
            <v>2900</v>
          </cell>
          <cell r="M1016" t="str">
            <v>pc</v>
          </cell>
          <cell r="T1016">
            <v>33500</v>
          </cell>
          <cell r="U1016">
            <v>12</v>
          </cell>
          <cell r="V1016" t="str">
            <v>lsn</v>
          </cell>
          <cell r="W1016">
            <v>2750</v>
          </cell>
          <cell r="X1016" t="str">
            <v>pc</v>
          </cell>
          <cell r="Y1016">
            <v>2791.6666666666665</v>
          </cell>
          <cell r="Z1016" t="str">
            <v>pc</v>
          </cell>
        </row>
        <row r="1017">
          <cell r="A1017" t="str">
            <v>ROSE1</v>
          </cell>
          <cell r="B1017" t="str">
            <v>Myk. G Rose Brand 1 Ltr</v>
          </cell>
          <cell r="C1017">
            <v>12</v>
          </cell>
          <cell r="D1017" t="str">
            <v>dos</v>
          </cell>
          <cell r="E1017">
            <v>177000</v>
          </cell>
          <cell r="G1017">
            <v>14750</v>
          </cell>
          <cell r="H1017">
            <v>15500</v>
          </cell>
          <cell r="I1017" t="str">
            <v>pc</v>
          </cell>
          <cell r="J1017">
            <v>15500</v>
          </cell>
          <cell r="K1017" t="str">
            <v>pc</v>
          </cell>
          <cell r="L1017">
            <v>15500</v>
          </cell>
          <cell r="M1017" t="str">
            <v>pc</v>
          </cell>
        </row>
        <row r="1018">
          <cell r="A1018" t="str">
            <v>ROSE2</v>
          </cell>
          <cell r="B1018" t="str">
            <v>Myk. G Rose Brand 2 Ltr</v>
          </cell>
          <cell r="C1018">
            <v>6</v>
          </cell>
          <cell r="D1018" t="str">
            <v>dos</v>
          </cell>
          <cell r="E1018">
            <v>153000</v>
          </cell>
          <cell r="G1018">
            <v>25500</v>
          </cell>
          <cell r="H1018">
            <v>26500</v>
          </cell>
          <cell r="I1018" t="str">
            <v>pc</v>
          </cell>
          <cell r="J1018">
            <v>26000</v>
          </cell>
          <cell r="K1018" t="str">
            <v>pc</v>
          </cell>
        </row>
        <row r="1019">
          <cell r="A1019" t="str">
            <v>ROSE5</v>
          </cell>
          <cell r="B1019" t="str">
            <v>Myk. G Rose Brand 5 Ltr</v>
          </cell>
          <cell r="C1019">
            <v>4</v>
          </cell>
          <cell r="D1019" t="str">
            <v>dos</v>
          </cell>
          <cell r="E1019">
            <v>245000</v>
          </cell>
          <cell r="G1019">
            <v>61250</v>
          </cell>
          <cell r="H1019">
            <v>60000</v>
          </cell>
          <cell r="I1019" t="str">
            <v>dirj</v>
          </cell>
          <cell r="J1019">
            <v>60000</v>
          </cell>
          <cell r="K1019" t="str">
            <v>dirj</v>
          </cell>
          <cell r="L1019">
            <v>59500</v>
          </cell>
          <cell r="M1019" t="str">
            <v>dirj</v>
          </cell>
        </row>
        <row r="1020">
          <cell r="A1020" t="str">
            <v>TAWON5</v>
          </cell>
          <cell r="B1020" t="str">
            <v>Myk. G TAWON 5 Ltr</v>
          </cell>
          <cell r="C1020">
            <v>4</v>
          </cell>
          <cell r="D1020" t="str">
            <v>dos</v>
          </cell>
          <cell r="E1020">
            <v>230000</v>
          </cell>
          <cell r="G1020">
            <v>57500</v>
          </cell>
          <cell r="H1020">
            <v>61000</v>
          </cell>
          <cell r="I1020" t="str">
            <v>dirj</v>
          </cell>
          <cell r="J1020">
            <v>61000</v>
          </cell>
          <cell r="K1020" t="str">
            <v>dirj</v>
          </cell>
          <cell r="L1020">
            <v>60000</v>
          </cell>
          <cell r="M1020" t="str">
            <v>dirj</v>
          </cell>
        </row>
        <row r="1021">
          <cell r="A1021" t="str">
            <v>VIOLA5</v>
          </cell>
          <cell r="B1021" t="str">
            <v>Myk. G VIOLA  5 Ltr</v>
          </cell>
          <cell r="C1021">
            <v>4</v>
          </cell>
          <cell r="D1021" t="str">
            <v>dos</v>
          </cell>
          <cell r="E1021">
            <v>254000</v>
          </cell>
          <cell r="G1021">
            <v>63500</v>
          </cell>
          <cell r="H1021">
            <v>65000</v>
          </cell>
          <cell r="I1021" t="str">
            <v>dirj</v>
          </cell>
          <cell r="J1021">
            <v>64500</v>
          </cell>
          <cell r="K1021" t="str">
            <v>dirj</v>
          </cell>
          <cell r="M1021" t="str">
            <v>dirj</v>
          </cell>
        </row>
        <row r="1022">
          <cell r="A1022" t="str">
            <v>SANIA1</v>
          </cell>
          <cell r="B1022" t="str">
            <v>Myk. Goreng Sania 1 Ltr</v>
          </cell>
          <cell r="C1022">
            <v>12</v>
          </cell>
          <cell r="D1022" t="str">
            <v>dos</v>
          </cell>
          <cell r="E1022">
            <v>120000</v>
          </cell>
          <cell r="G1022">
            <v>10000</v>
          </cell>
        </row>
        <row r="1023">
          <cell r="A1023" t="str">
            <v>SOVIA1</v>
          </cell>
          <cell r="B1023" t="str">
            <v>Myk. Goreng Sovia 1 Ltr</v>
          </cell>
          <cell r="C1023">
            <v>12</v>
          </cell>
          <cell r="D1023" t="str">
            <v>dos</v>
          </cell>
          <cell r="E1023">
            <v>150000</v>
          </cell>
          <cell r="G1023">
            <v>12500</v>
          </cell>
          <cell r="H1023">
            <v>13500</v>
          </cell>
          <cell r="I1023" t="str">
            <v>pcs</v>
          </cell>
          <cell r="J1023">
            <v>13000</v>
          </cell>
          <cell r="K1023" t="str">
            <v>pcs</v>
          </cell>
          <cell r="L1023">
            <v>12900</v>
          </cell>
          <cell r="M1023" t="str">
            <v>pcs</v>
          </cell>
          <cell r="W1023">
            <v>12700</v>
          </cell>
          <cell r="X1023" t="str">
            <v>pcs</v>
          </cell>
          <cell r="Y1023">
            <v>12750</v>
          </cell>
          <cell r="Z1023" t="str">
            <v>pcs</v>
          </cell>
          <cell r="AA1023">
            <v>153000</v>
          </cell>
          <cell r="AB1023" t="str">
            <v>dos</v>
          </cell>
        </row>
        <row r="1024">
          <cell r="A1024" t="str">
            <v>SOVIA2</v>
          </cell>
          <cell r="B1024" t="str">
            <v>Myk. Goreng Sovia 2 Ltr</v>
          </cell>
          <cell r="C1024">
            <v>6</v>
          </cell>
          <cell r="D1024" t="str">
            <v>dos</v>
          </cell>
          <cell r="E1024">
            <v>150000</v>
          </cell>
          <cell r="G1024">
            <v>25000</v>
          </cell>
          <cell r="H1024">
            <v>26000</v>
          </cell>
          <cell r="I1024" t="str">
            <v>pc</v>
          </cell>
          <cell r="J1024">
            <v>25700</v>
          </cell>
          <cell r="K1024" t="str">
            <v>pc</v>
          </cell>
          <cell r="L1024">
            <v>25500</v>
          </cell>
          <cell r="M1024" t="str">
            <v>pc</v>
          </cell>
          <cell r="AA1024">
            <v>153000</v>
          </cell>
          <cell r="AB1024" t="str">
            <v>dos</v>
          </cell>
        </row>
        <row r="1025">
          <cell r="A1025" t="str">
            <v>SOVIA5</v>
          </cell>
          <cell r="B1025" t="str">
            <v>Myk. Goreng Sovia 5 Ltr</v>
          </cell>
          <cell r="C1025">
            <v>4</v>
          </cell>
          <cell r="D1025" t="str">
            <v>dos</v>
          </cell>
          <cell r="E1025">
            <v>240000</v>
          </cell>
          <cell r="G1025">
            <v>60000</v>
          </cell>
          <cell r="H1025">
            <v>63000</v>
          </cell>
          <cell r="I1025" t="str">
            <v>dirj</v>
          </cell>
        </row>
        <row r="1026">
          <cell r="A1026" t="str">
            <v>FILMA1</v>
          </cell>
          <cell r="B1026" t="str">
            <v>Myk. FILMA 1 LITER</v>
          </cell>
          <cell r="C1026">
            <v>12</v>
          </cell>
          <cell r="D1026" t="str">
            <v>pcs</v>
          </cell>
          <cell r="E1026">
            <v>249183</v>
          </cell>
          <cell r="G1026">
            <v>20765.25</v>
          </cell>
          <cell r="H1026">
            <v>22000</v>
          </cell>
          <cell r="I1026" t="str">
            <v>pc</v>
          </cell>
          <cell r="J1026">
            <v>21500</v>
          </cell>
          <cell r="K1026" t="str">
            <v>pc</v>
          </cell>
        </row>
        <row r="1028">
          <cell r="A1028" t="str">
            <v>ZAITUNB</v>
          </cell>
          <cell r="B1028" t="str">
            <v>Myk. Goreng Zaitun Takar 1 Botol</v>
          </cell>
          <cell r="C1028">
            <v>30</v>
          </cell>
          <cell r="D1028" t="str">
            <v>bks</v>
          </cell>
          <cell r="E1028">
            <v>320000</v>
          </cell>
          <cell r="G1028">
            <v>10666.666666666666</v>
          </cell>
          <cell r="H1028">
            <v>11500</v>
          </cell>
          <cell r="I1028" t="str">
            <v>Bks</v>
          </cell>
          <cell r="J1028">
            <v>11500</v>
          </cell>
          <cell r="K1028" t="str">
            <v>Bks</v>
          </cell>
          <cell r="L1028">
            <v>11500</v>
          </cell>
          <cell r="M1028" t="str">
            <v>Bks</v>
          </cell>
          <cell r="X1028" t="str">
            <v>bks</v>
          </cell>
          <cell r="Z1028" t="str">
            <v>bks</v>
          </cell>
        </row>
        <row r="1029">
          <cell r="A1029" t="str">
            <v>BARKA</v>
          </cell>
          <cell r="B1029" t="str">
            <v>Myk. Goreng BARKA Takar 1 Botol</v>
          </cell>
          <cell r="C1029">
            <v>29</v>
          </cell>
          <cell r="D1029" t="str">
            <v>bks</v>
          </cell>
          <cell r="E1029">
            <v>210000</v>
          </cell>
          <cell r="G1029">
            <v>7241.3793103448279</v>
          </cell>
        </row>
        <row r="1030">
          <cell r="A1030" t="str">
            <v>Nivea</v>
          </cell>
          <cell r="B1030" t="str">
            <v>NIVEA ROLL</v>
          </cell>
          <cell r="C1030">
            <v>6</v>
          </cell>
          <cell r="D1030" t="str">
            <v>pcs</v>
          </cell>
          <cell r="E1030">
            <v>75000</v>
          </cell>
          <cell r="F1030">
            <v>150000</v>
          </cell>
          <cell r="G1030">
            <v>12500</v>
          </cell>
          <cell r="H1030">
            <v>14000</v>
          </cell>
          <cell r="I1030" t="str">
            <v>pc</v>
          </cell>
          <cell r="J1030">
            <v>14000</v>
          </cell>
          <cell r="K1030" t="str">
            <v>pc</v>
          </cell>
          <cell r="L1030">
            <v>13500</v>
          </cell>
          <cell r="M1030" t="str">
            <v>pc</v>
          </cell>
        </row>
        <row r="1031">
          <cell r="A1031" t="str">
            <v>PASEOB</v>
          </cell>
          <cell r="B1031" t="str">
            <v>PASEO TISU BASAH 50 lbr</v>
          </cell>
          <cell r="C1031">
            <v>36</v>
          </cell>
          <cell r="D1031" t="str">
            <v>pcs</v>
          </cell>
          <cell r="E1031">
            <v>266000</v>
          </cell>
          <cell r="F1031">
            <v>88666.666666666657</v>
          </cell>
          <cell r="G1031">
            <v>7388.8888888888887</v>
          </cell>
          <cell r="H1031">
            <v>10000</v>
          </cell>
          <cell r="I1031" t="str">
            <v>pc</v>
          </cell>
          <cell r="J1031">
            <v>9500</v>
          </cell>
          <cell r="K1031" t="str">
            <v>pc</v>
          </cell>
          <cell r="L1031">
            <v>9000</v>
          </cell>
          <cell r="M1031" t="str">
            <v>pc</v>
          </cell>
        </row>
        <row r="1032">
          <cell r="A1032" t="str">
            <v>NATA360</v>
          </cell>
          <cell r="B1032" t="str">
            <v>Nata De Coco 360 ml</v>
          </cell>
          <cell r="C1032">
            <v>24</v>
          </cell>
          <cell r="D1032" t="str">
            <v>pcs</v>
          </cell>
          <cell r="E1032">
            <v>154000</v>
          </cell>
          <cell r="F1032">
            <v>77000</v>
          </cell>
          <cell r="G1032">
            <v>6416.666666666667</v>
          </cell>
          <cell r="H1032">
            <v>8000</v>
          </cell>
          <cell r="I1032" t="str">
            <v>pc</v>
          </cell>
          <cell r="J1032">
            <v>7500</v>
          </cell>
          <cell r="K1032" t="str">
            <v>pc</v>
          </cell>
          <cell r="L1032">
            <v>7000</v>
          </cell>
          <cell r="M1032" t="str">
            <v>pc</v>
          </cell>
          <cell r="T1032">
            <v>80000</v>
          </cell>
          <cell r="U1032">
            <v>12</v>
          </cell>
          <cell r="V1032" t="str">
            <v>lsn</v>
          </cell>
          <cell r="Y1032">
            <v>6700</v>
          </cell>
          <cell r="Z1032" t="str">
            <v>pc</v>
          </cell>
        </row>
        <row r="1033">
          <cell r="A1033" t="str">
            <v>NATAB</v>
          </cell>
          <cell r="B1033" t="str">
            <v>Nata De Coco 1000 ml</v>
          </cell>
          <cell r="C1033">
            <v>12</v>
          </cell>
          <cell r="D1033" t="str">
            <v>pcs</v>
          </cell>
          <cell r="E1033">
            <v>124000</v>
          </cell>
          <cell r="F1033">
            <v>124000</v>
          </cell>
          <cell r="G1033">
            <v>10333.333333333334</v>
          </cell>
        </row>
        <row r="1034">
          <cell r="A1034" t="str">
            <v>NATAG</v>
          </cell>
          <cell r="B1034" t="str">
            <v>Nata De Coco Gelas 220 ml</v>
          </cell>
          <cell r="C1034">
            <v>24</v>
          </cell>
          <cell r="D1034" t="str">
            <v>pcs</v>
          </cell>
          <cell r="E1034">
            <v>77000</v>
          </cell>
          <cell r="F1034">
            <v>38500</v>
          </cell>
          <cell r="G1034">
            <v>3208.3333333333335</v>
          </cell>
          <cell r="H1034">
            <v>4000</v>
          </cell>
          <cell r="I1034" t="str">
            <v>pc</v>
          </cell>
          <cell r="J1034">
            <v>4000</v>
          </cell>
          <cell r="K1034" t="str">
            <v>pc</v>
          </cell>
          <cell r="L1034">
            <v>3700</v>
          </cell>
          <cell r="M1034" t="str">
            <v>pc</v>
          </cell>
          <cell r="T1034">
            <v>41000</v>
          </cell>
          <cell r="U1034">
            <v>12</v>
          </cell>
          <cell r="V1034" t="str">
            <v>lsn</v>
          </cell>
          <cell r="W1034">
            <v>3400</v>
          </cell>
          <cell r="X1034" t="str">
            <v>pc</v>
          </cell>
          <cell r="Y1034">
            <v>3500</v>
          </cell>
          <cell r="Z1034" t="str">
            <v>pc</v>
          </cell>
          <cell r="AA1034">
            <v>79500</v>
          </cell>
          <cell r="AB1034" t="str">
            <v>dos</v>
          </cell>
        </row>
        <row r="1035">
          <cell r="A1035" t="str">
            <v>NES220</v>
          </cell>
          <cell r="B1035" t="str">
            <v>Nescafe Kaleng 220ml</v>
          </cell>
          <cell r="C1035">
            <v>12</v>
          </cell>
          <cell r="D1035" t="str">
            <v>klg</v>
          </cell>
          <cell r="E1035">
            <v>63300</v>
          </cell>
          <cell r="F1035">
            <v>63300</v>
          </cell>
          <cell r="G1035">
            <v>5275</v>
          </cell>
          <cell r="H1035">
            <v>6500</v>
          </cell>
          <cell r="I1035" t="str">
            <v>pc</v>
          </cell>
          <cell r="J1035">
            <v>6500</v>
          </cell>
          <cell r="K1035" t="str">
            <v>pc</v>
          </cell>
          <cell r="L1035">
            <v>6500</v>
          </cell>
          <cell r="M1035" t="str">
            <v>pc</v>
          </cell>
          <cell r="T1035">
            <v>98000</v>
          </cell>
          <cell r="U1035">
            <v>12</v>
          </cell>
          <cell r="V1035" t="str">
            <v>lsn</v>
          </cell>
          <cell r="W1035">
            <v>8100</v>
          </cell>
          <cell r="X1035" t="str">
            <v>pc</v>
          </cell>
          <cell r="Y1035">
            <v>8200</v>
          </cell>
          <cell r="Z1035" t="str">
            <v>pc</v>
          </cell>
        </row>
        <row r="1036">
          <cell r="A1036" t="str">
            <v>NESb</v>
          </cell>
          <cell r="B1036" t="str">
            <v>Nescafe Botol 220 ML isi 24</v>
          </cell>
          <cell r="C1036">
            <v>12</v>
          </cell>
          <cell r="D1036" t="str">
            <v>pcs</v>
          </cell>
          <cell r="E1036">
            <v>77000</v>
          </cell>
          <cell r="F1036">
            <v>77000</v>
          </cell>
          <cell r="G1036">
            <v>6416.666666666667</v>
          </cell>
          <cell r="H1036">
            <v>8000</v>
          </cell>
          <cell r="I1036" t="str">
            <v>pc</v>
          </cell>
          <cell r="J1036">
            <v>8000</v>
          </cell>
          <cell r="K1036" t="str">
            <v>pc</v>
          </cell>
          <cell r="L1036">
            <v>8000</v>
          </cell>
          <cell r="M1036" t="str">
            <v>pc</v>
          </cell>
          <cell r="T1036">
            <v>77500</v>
          </cell>
          <cell r="U1036">
            <v>12</v>
          </cell>
          <cell r="V1036" t="str">
            <v>lsn</v>
          </cell>
          <cell r="W1036">
            <v>6400</v>
          </cell>
          <cell r="Y1036">
            <v>6458.333333333333</v>
          </cell>
          <cell r="Z1036" t="str">
            <v>pc</v>
          </cell>
          <cell r="AA1036">
            <v>153000</v>
          </cell>
          <cell r="AB1036" t="str">
            <v>dos</v>
          </cell>
        </row>
        <row r="1037">
          <cell r="A1037" t="str">
            <v>NES200</v>
          </cell>
          <cell r="B1037" t="str">
            <v>Nescafe Kotak 200 ML isi 36</v>
          </cell>
          <cell r="C1037">
            <v>36</v>
          </cell>
          <cell r="D1037" t="str">
            <v>ktk</v>
          </cell>
          <cell r="E1037">
            <v>130910</v>
          </cell>
          <cell r="F1037">
            <v>43636.666666666664</v>
          </cell>
          <cell r="G1037">
            <v>3636.3888888888887</v>
          </cell>
          <cell r="H1037">
            <v>5000</v>
          </cell>
          <cell r="I1037" t="str">
            <v>pc</v>
          </cell>
          <cell r="J1037">
            <v>5000</v>
          </cell>
          <cell r="K1037" t="str">
            <v>pc</v>
          </cell>
          <cell r="L1037">
            <v>4300</v>
          </cell>
          <cell r="M1037" t="str">
            <v>pc</v>
          </cell>
          <cell r="T1037">
            <v>46000</v>
          </cell>
          <cell r="U1037">
            <v>12</v>
          </cell>
          <cell r="V1037" t="str">
            <v>lsn</v>
          </cell>
          <cell r="W1037">
            <v>3800</v>
          </cell>
          <cell r="X1037" t="str">
            <v>pc</v>
          </cell>
          <cell r="Y1037">
            <v>3900</v>
          </cell>
          <cell r="Z1037" t="str">
            <v>pc</v>
          </cell>
        </row>
        <row r="1038">
          <cell r="A1038" t="str">
            <v>NES1</v>
          </cell>
          <cell r="B1038" t="str">
            <v>Nescafe RENTENG isi 10</v>
          </cell>
          <cell r="C1038">
            <v>10</v>
          </cell>
          <cell r="D1038" t="str">
            <v>rtg</v>
          </cell>
          <cell r="E1038">
            <v>8781.7000000000007</v>
          </cell>
          <cell r="F1038">
            <v>87817</v>
          </cell>
          <cell r="G1038">
            <v>878.17000000000007</v>
          </cell>
          <cell r="N1038">
            <v>11000</v>
          </cell>
          <cell r="P1038" t="str">
            <v>rtg</v>
          </cell>
        </row>
        <row r="1039">
          <cell r="A1039" t="str">
            <v>AIR</v>
          </cell>
          <cell r="B1039" t="str">
            <v>Obat Air</v>
          </cell>
          <cell r="C1039">
            <v>20</v>
          </cell>
          <cell r="D1039" t="str">
            <v>bal</v>
          </cell>
          <cell r="E1039">
            <v>35000</v>
          </cell>
          <cell r="F1039">
            <v>21000</v>
          </cell>
          <cell r="G1039">
            <v>1750</v>
          </cell>
          <cell r="H1039">
            <v>2000</v>
          </cell>
          <cell r="I1039" t="str">
            <v>pc</v>
          </cell>
          <cell r="J1039">
            <v>2000</v>
          </cell>
          <cell r="K1039" t="str">
            <v>pc</v>
          </cell>
          <cell r="L1039">
            <v>2000</v>
          </cell>
          <cell r="M1039" t="str">
            <v>pc</v>
          </cell>
        </row>
        <row r="1040">
          <cell r="A1040" t="str">
            <v>SOFFELBR</v>
          </cell>
          <cell r="B1040" t="str">
            <v xml:space="preserve">ON. Soffel Bengkoang RENTENG </v>
          </cell>
          <cell r="C1040">
            <v>12</v>
          </cell>
          <cell r="D1040" t="str">
            <v>hgr</v>
          </cell>
          <cell r="E1040">
            <v>9399.9600000000009</v>
          </cell>
          <cell r="F1040">
            <v>56399.76</v>
          </cell>
          <cell r="G1040">
            <v>783.33</v>
          </cell>
          <cell r="H1040">
            <v>1000</v>
          </cell>
          <cell r="I1040" t="str">
            <v>pc</v>
          </cell>
          <cell r="J1040">
            <v>1000</v>
          </cell>
          <cell r="K1040" t="str">
            <v>pc</v>
          </cell>
          <cell r="L1040">
            <v>1000</v>
          </cell>
          <cell r="M1040" t="str">
            <v>pc</v>
          </cell>
          <cell r="T1040">
            <v>10500</v>
          </cell>
          <cell r="U1040">
            <v>12</v>
          </cell>
          <cell r="V1040" t="str">
            <v>lsn</v>
          </cell>
          <cell r="W1040">
            <v>5500</v>
          </cell>
          <cell r="X1040" t="str">
            <v>rtg</v>
          </cell>
          <cell r="AA1040">
            <v>59000</v>
          </cell>
          <cell r="AB1040" t="str">
            <v>pak</v>
          </cell>
        </row>
        <row r="1041">
          <cell r="A1041" t="str">
            <v>SOFFELB</v>
          </cell>
          <cell r="B1041" t="str">
            <v>ON. Soffel BOTOL BENGKOANG</v>
          </cell>
          <cell r="C1041">
            <v>12</v>
          </cell>
          <cell r="D1041" t="str">
            <v>btl</v>
          </cell>
          <cell r="E1041">
            <v>103200</v>
          </cell>
          <cell r="G1041">
            <v>8600</v>
          </cell>
        </row>
        <row r="1042">
          <cell r="A1042" t="str">
            <v>SOFFELM</v>
          </cell>
          <cell r="B1042" t="str">
            <v>ON. Soffel BOTOL BIASA</v>
          </cell>
          <cell r="C1042">
            <v>12</v>
          </cell>
          <cell r="D1042" t="str">
            <v>btl</v>
          </cell>
          <cell r="E1042">
            <v>86460</v>
          </cell>
          <cell r="G1042">
            <v>7205</v>
          </cell>
        </row>
        <row r="1043">
          <cell r="A1043" t="str">
            <v>SOFFELMR</v>
          </cell>
          <cell r="B1043" t="str">
            <v>ON. Soffel Merah / Orenge RENTENG</v>
          </cell>
          <cell r="C1043">
            <v>24</v>
          </cell>
          <cell r="D1043" t="str">
            <v>rtg</v>
          </cell>
          <cell r="E1043">
            <v>10500</v>
          </cell>
          <cell r="F1043">
            <v>63000</v>
          </cell>
          <cell r="G1043">
            <v>437.5</v>
          </cell>
          <cell r="N1043">
            <v>6000</v>
          </cell>
          <cell r="P1043" t="str">
            <v>rtg</v>
          </cell>
          <cell r="Q1043">
            <v>63000</v>
          </cell>
          <cell r="S1043" t="str">
            <v>pak</v>
          </cell>
          <cell r="AA1043">
            <v>63000</v>
          </cell>
          <cell r="AB1043" t="str">
            <v>pak</v>
          </cell>
        </row>
        <row r="1044">
          <cell r="A1044" t="str">
            <v>PAKTANI</v>
          </cell>
          <cell r="B1044" t="str">
            <v>Pak Tani &amp; Kecetit</v>
          </cell>
          <cell r="C1044">
            <v>12</v>
          </cell>
          <cell r="D1044" t="str">
            <v>kpg</v>
          </cell>
          <cell r="E1044">
            <v>13000</v>
          </cell>
          <cell r="F1044">
            <v>65000</v>
          </cell>
          <cell r="G1044">
            <v>1083.3333333333333</v>
          </cell>
          <cell r="H1044">
            <v>1500</v>
          </cell>
          <cell r="I1044" t="str">
            <v>pc</v>
          </cell>
          <cell r="J1044">
            <v>1500</v>
          </cell>
          <cell r="K1044" t="str">
            <v>pc</v>
          </cell>
          <cell r="L1044">
            <v>1500</v>
          </cell>
          <cell r="M1044" t="str">
            <v>pc</v>
          </cell>
          <cell r="N1044">
            <v>16000</v>
          </cell>
          <cell r="O1044">
            <v>12</v>
          </cell>
          <cell r="P1044" t="str">
            <v>rtg</v>
          </cell>
          <cell r="Q1044">
            <v>73500</v>
          </cell>
          <cell r="R1044">
            <v>12</v>
          </cell>
          <cell r="S1044" t="str">
            <v>pak</v>
          </cell>
          <cell r="Y1044">
            <v>1333.3333333333333</v>
          </cell>
          <cell r="Z1044" t="str">
            <v>pc</v>
          </cell>
        </row>
        <row r="1045">
          <cell r="A1045" t="str">
            <v>PLAM</v>
          </cell>
          <cell r="B1045" t="str">
            <v>Palm Sugar</v>
          </cell>
          <cell r="C1045">
            <v>48</v>
          </cell>
          <cell r="D1045" t="str">
            <v>pcs</v>
          </cell>
          <cell r="E1045">
            <v>220000</v>
          </cell>
          <cell r="F1045">
            <v>55000</v>
          </cell>
          <cell r="G1045">
            <v>4583.333333333333</v>
          </cell>
          <cell r="H1045">
            <v>6000</v>
          </cell>
          <cell r="I1045" t="str">
            <v>pc</v>
          </cell>
          <cell r="J1045">
            <v>5700</v>
          </cell>
          <cell r="K1045" t="str">
            <v>pc</v>
          </cell>
          <cell r="L1045">
            <v>5300</v>
          </cell>
          <cell r="M1045" t="str">
            <v>pc</v>
          </cell>
          <cell r="T1045">
            <v>58000</v>
          </cell>
          <cell r="U1045">
            <v>12</v>
          </cell>
          <cell r="V1045" t="str">
            <v>lsn</v>
          </cell>
          <cell r="W1045">
            <v>4850</v>
          </cell>
          <cell r="X1045" t="str">
            <v>pc</v>
          </cell>
          <cell r="Y1045">
            <v>4900</v>
          </cell>
          <cell r="Z1045" t="str">
            <v>pc</v>
          </cell>
        </row>
        <row r="1046">
          <cell r="A1046" t="str">
            <v>PASTA</v>
          </cell>
          <cell r="B1046" t="str">
            <v>Pasta Pandan</v>
          </cell>
          <cell r="C1046">
            <v>12</v>
          </cell>
          <cell r="D1046" t="str">
            <v>btl</v>
          </cell>
          <cell r="E1046">
            <v>32000</v>
          </cell>
          <cell r="F1046">
            <v>32000</v>
          </cell>
          <cell r="G1046">
            <v>2666.6666666666665</v>
          </cell>
        </row>
        <row r="1047">
          <cell r="A1047" t="str">
            <v>KOTEXU</v>
          </cell>
          <cell r="B1047" t="str">
            <v>Pbl. Kotek RENTENG UNGGU</v>
          </cell>
          <cell r="C1047">
            <v>6</v>
          </cell>
          <cell r="D1047" t="str">
            <v>pcs</v>
          </cell>
          <cell r="E1047">
            <v>5300</v>
          </cell>
          <cell r="G1047">
            <v>883.33333333333337</v>
          </cell>
          <cell r="H1047">
            <v>1000</v>
          </cell>
          <cell r="I1047" t="str">
            <v>pc</v>
          </cell>
          <cell r="J1047">
            <v>1000</v>
          </cell>
          <cell r="K1047" t="str">
            <v>pc</v>
          </cell>
          <cell r="N1047">
            <v>6500</v>
          </cell>
          <cell r="P1047" t="str">
            <v>rtg</v>
          </cell>
        </row>
        <row r="1048">
          <cell r="A1048" t="str">
            <v>KOTEX20B</v>
          </cell>
          <cell r="B1048" t="str">
            <v>Pbl. Kotek Biasa 20</v>
          </cell>
          <cell r="C1048">
            <v>6</v>
          </cell>
          <cell r="D1048" t="str">
            <v>pcs</v>
          </cell>
          <cell r="E1048">
            <v>78000</v>
          </cell>
          <cell r="F1048">
            <v>156000</v>
          </cell>
          <cell r="G1048">
            <v>13000</v>
          </cell>
          <cell r="H1048">
            <v>16000</v>
          </cell>
          <cell r="I1048" t="str">
            <v>pc</v>
          </cell>
          <cell r="J1048">
            <v>15500</v>
          </cell>
          <cell r="K1048" t="str">
            <v>pc</v>
          </cell>
          <cell r="L1048">
            <v>14500</v>
          </cell>
          <cell r="M1048" t="str">
            <v>pc</v>
          </cell>
        </row>
        <row r="1049">
          <cell r="A1049" t="str">
            <v>KOTEX10B</v>
          </cell>
          <cell r="B1049" t="str">
            <v>Pbl. Kotek 10 BIASA 23 CM</v>
          </cell>
          <cell r="C1049">
            <v>6</v>
          </cell>
          <cell r="D1049" t="str">
            <v>pcs</v>
          </cell>
          <cell r="E1049">
            <v>36000</v>
          </cell>
          <cell r="F1049">
            <v>72000</v>
          </cell>
          <cell r="G1049">
            <v>6000</v>
          </cell>
          <cell r="H1049">
            <v>7500</v>
          </cell>
          <cell r="I1049" t="str">
            <v>pc</v>
          </cell>
          <cell r="J1049">
            <v>6700</v>
          </cell>
          <cell r="K1049" t="str">
            <v>pc</v>
          </cell>
          <cell r="L1049">
            <v>6400</v>
          </cell>
          <cell r="M1049" t="str">
            <v>pc</v>
          </cell>
        </row>
        <row r="1050">
          <cell r="A1050" t="str">
            <v>KOTEX16W</v>
          </cell>
          <cell r="B1050" t="str">
            <v>Pbl. Kotek 16 WING</v>
          </cell>
          <cell r="C1050">
            <v>6</v>
          </cell>
          <cell r="D1050" t="str">
            <v>pcs</v>
          </cell>
          <cell r="E1050">
            <v>78000</v>
          </cell>
          <cell r="F1050">
            <v>156000</v>
          </cell>
          <cell r="G1050">
            <v>13000</v>
          </cell>
          <cell r="H1050">
            <v>15000</v>
          </cell>
          <cell r="I1050" t="str">
            <v>pc</v>
          </cell>
          <cell r="J1050">
            <v>14500</v>
          </cell>
          <cell r="K1050" t="str">
            <v>pc</v>
          </cell>
          <cell r="L1050">
            <v>14000</v>
          </cell>
          <cell r="M1050" t="str">
            <v>pc</v>
          </cell>
        </row>
        <row r="1051">
          <cell r="A1051" t="str">
            <v>KOTEX8W</v>
          </cell>
          <cell r="B1051" t="str">
            <v>Pbl. Kotek 8 WING 23 CM</v>
          </cell>
          <cell r="C1051">
            <v>6</v>
          </cell>
          <cell r="D1051" t="str">
            <v>pcs</v>
          </cell>
          <cell r="E1051">
            <v>36000</v>
          </cell>
          <cell r="F1051">
            <v>72000</v>
          </cell>
          <cell r="G1051">
            <v>6000</v>
          </cell>
          <cell r="H1051">
            <v>7500</v>
          </cell>
          <cell r="I1051" t="str">
            <v>pc</v>
          </cell>
          <cell r="J1051">
            <v>6700</v>
          </cell>
          <cell r="K1051" t="str">
            <v>pc</v>
          </cell>
          <cell r="L1051">
            <v>6400</v>
          </cell>
          <cell r="M1051" t="str">
            <v>pc</v>
          </cell>
        </row>
        <row r="1052">
          <cell r="A1052" t="str">
            <v>KOTEX8B</v>
          </cell>
          <cell r="B1052" t="str">
            <v>Pbl. Kotek 8 BIASA</v>
          </cell>
          <cell r="C1052">
            <v>19</v>
          </cell>
          <cell r="D1052" t="str">
            <v>pcs</v>
          </cell>
          <cell r="E1052">
            <v>105735</v>
          </cell>
          <cell r="F1052">
            <v>66780</v>
          </cell>
          <cell r="G1052">
            <v>5565</v>
          </cell>
          <cell r="H1052">
            <v>6500</v>
          </cell>
          <cell r="I1052" t="str">
            <v>pc</v>
          </cell>
          <cell r="J1052">
            <v>6500</v>
          </cell>
          <cell r="K1052" t="str">
            <v>pc</v>
          </cell>
          <cell r="L1052">
            <v>6000</v>
          </cell>
          <cell r="M1052" t="str">
            <v>pc</v>
          </cell>
        </row>
        <row r="1053">
          <cell r="A1053" t="str">
            <v>PANTY8</v>
          </cell>
          <cell r="B1053" t="str">
            <v>Pbl. Kotek Panty 8</v>
          </cell>
          <cell r="C1053">
            <v>12</v>
          </cell>
          <cell r="D1053" t="str">
            <v>pcs</v>
          </cell>
          <cell r="E1053">
            <v>48000</v>
          </cell>
          <cell r="F1053">
            <v>48000</v>
          </cell>
          <cell r="G1053">
            <v>4000</v>
          </cell>
          <cell r="H1053">
            <v>5000</v>
          </cell>
          <cell r="I1053" t="str">
            <v>pc</v>
          </cell>
          <cell r="J1053">
            <v>4700</v>
          </cell>
          <cell r="K1053" t="str">
            <v>pc</v>
          </cell>
          <cell r="L1053">
            <v>4500</v>
          </cell>
          <cell r="M1053" t="str">
            <v>pc</v>
          </cell>
        </row>
        <row r="1054">
          <cell r="A1054" t="str">
            <v>KOTEX6M</v>
          </cell>
          <cell r="B1054" t="str">
            <v>Pbl. Kotek 41 WING Night</v>
          </cell>
          <cell r="C1054">
            <v>3</v>
          </cell>
          <cell r="D1054" t="str">
            <v>pcs</v>
          </cell>
          <cell r="E1054">
            <v>54000</v>
          </cell>
          <cell r="G1054">
            <v>18000</v>
          </cell>
          <cell r="H1054">
            <v>20000</v>
          </cell>
          <cell r="I1054" t="str">
            <v>pc</v>
          </cell>
          <cell r="J1054">
            <v>20000</v>
          </cell>
          <cell r="K1054" t="str">
            <v>pc</v>
          </cell>
          <cell r="L1054">
            <v>19500</v>
          </cell>
          <cell r="M1054" t="str">
            <v>pc</v>
          </cell>
        </row>
        <row r="1055">
          <cell r="A1055" t="str">
            <v>KOTEX7M</v>
          </cell>
          <cell r="B1055" t="str">
            <v>Pbl. Kotek 35,32 WING Night</v>
          </cell>
          <cell r="C1055">
            <v>3</v>
          </cell>
          <cell r="D1055" t="str">
            <v>pcs</v>
          </cell>
          <cell r="E1055">
            <v>54000</v>
          </cell>
          <cell r="G1055">
            <v>18000</v>
          </cell>
          <cell r="H1055">
            <v>20000</v>
          </cell>
          <cell r="I1055" t="str">
            <v>pc</v>
          </cell>
          <cell r="J1055">
            <v>20000</v>
          </cell>
          <cell r="K1055" t="str">
            <v>pc</v>
          </cell>
          <cell r="L1055">
            <v>19500</v>
          </cell>
          <cell r="M1055" t="str">
            <v>pc</v>
          </cell>
        </row>
        <row r="1056">
          <cell r="A1056" t="str">
            <v>PROTEX12</v>
          </cell>
          <cell r="B1056" t="str">
            <v>Pbl. HERS PROTEX isi 12</v>
          </cell>
          <cell r="C1056">
            <v>24</v>
          </cell>
          <cell r="D1056" t="str">
            <v>pcs</v>
          </cell>
          <cell r="E1056">
            <v>88800</v>
          </cell>
          <cell r="F1056">
            <v>44400</v>
          </cell>
          <cell r="G1056">
            <v>3700</v>
          </cell>
          <cell r="H1056">
            <v>5000</v>
          </cell>
          <cell r="I1056" t="str">
            <v>pc</v>
          </cell>
          <cell r="J1056">
            <v>4500</v>
          </cell>
          <cell r="K1056" t="str">
            <v>pc</v>
          </cell>
          <cell r="L1056">
            <v>4000</v>
          </cell>
          <cell r="M1056" t="str">
            <v>pc</v>
          </cell>
          <cell r="T1056">
            <v>47000</v>
          </cell>
          <cell r="U1056">
            <v>12</v>
          </cell>
          <cell r="V1056" t="str">
            <v>lsn</v>
          </cell>
          <cell r="W1056">
            <v>3900</v>
          </cell>
          <cell r="X1056" t="str">
            <v>pc</v>
          </cell>
          <cell r="Y1056">
            <v>3916.6666666666665</v>
          </cell>
          <cell r="Z1056" t="str">
            <v>pc</v>
          </cell>
        </row>
        <row r="1057">
          <cell r="A1057" t="str">
            <v>PROTEX20</v>
          </cell>
          <cell r="B1057" t="str">
            <v>Pbl. HERS PROTEX isi 20 wings</v>
          </cell>
          <cell r="C1057">
            <v>12</v>
          </cell>
          <cell r="D1057" t="str">
            <v>pcs</v>
          </cell>
          <cell r="E1057">
            <v>105000</v>
          </cell>
          <cell r="G1057">
            <v>8750</v>
          </cell>
          <cell r="H1057">
            <v>10000</v>
          </cell>
          <cell r="I1057" t="str">
            <v>pc</v>
          </cell>
          <cell r="J1057">
            <v>9500</v>
          </cell>
          <cell r="K1057" t="str">
            <v>pc</v>
          </cell>
          <cell r="L1057">
            <v>9300</v>
          </cell>
          <cell r="M1057" t="str">
            <v>pc</v>
          </cell>
          <cell r="T1057">
            <v>108000</v>
          </cell>
          <cell r="U1057">
            <v>12</v>
          </cell>
          <cell r="V1057" t="str">
            <v>lsn</v>
          </cell>
          <cell r="W1057">
            <v>8900</v>
          </cell>
          <cell r="X1057" t="str">
            <v>pc</v>
          </cell>
          <cell r="Y1057">
            <v>9000</v>
          </cell>
          <cell r="Z1057" t="str">
            <v>pc</v>
          </cell>
        </row>
        <row r="1058">
          <cell r="A1058" t="str">
            <v>PROTEX24</v>
          </cell>
          <cell r="B1058" t="str">
            <v>Pbl. HERS PROTEX isi 24</v>
          </cell>
          <cell r="C1058">
            <v>12</v>
          </cell>
          <cell r="D1058" t="str">
            <v>pcs</v>
          </cell>
          <cell r="E1058">
            <v>97200</v>
          </cell>
          <cell r="G1058">
            <v>8100</v>
          </cell>
          <cell r="H1058">
            <v>9000</v>
          </cell>
          <cell r="I1058" t="str">
            <v>pc</v>
          </cell>
          <cell r="J1058">
            <v>9000</v>
          </cell>
          <cell r="K1058" t="str">
            <v>pc</v>
          </cell>
          <cell r="L1058">
            <v>8500</v>
          </cell>
          <cell r="M1058" t="str">
            <v>pc</v>
          </cell>
        </row>
        <row r="1059">
          <cell r="A1059" t="str">
            <v>PROTEX8</v>
          </cell>
          <cell r="B1059" t="str">
            <v>Pbl. HERS PROTEX isi 8</v>
          </cell>
          <cell r="C1059">
            <v>24</v>
          </cell>
          <cell r="D1059" t="str">
            <v>pcs</v>
          </cell>
          <cell r="E1059">
            <v>66000</v>
          </cell>
          <cell r="F1059">
            <v>33000</v>
          </cell>
          <cell r="G1059">
            <v>2750</v>
          </cell>
          <cell r="H1059">
            <v>3500</v>
          </cell>
          <cell r="I1059" t="str">
            <v>pc</v>
          </cell>
          <cell r="J1059">
            <v>3500</v>
          </cell>
          <cell r="K1059" t="str">
            <v>pc</v>
          </cell>
          <cell r="L1059">
            <v>3300</v>
          </cell>
          <cell r="M1059" t="str">
            <v>pc</v>
          </cell>
          <cell r="T1059">
            <v>36000</v>
          </cell>
          <cell r="U1059">
            <v>12</v>
          </cell>
          <cell r="V1059" t="str">
            <v>lsn</v>
          </cell>
          <cell r="W1059">
            <v>2900</v>
          </cell>
          <cell r="X1059" t="str">
            <v>pc</v>
          </cell>
          <cell r="Y1059">
            <v>3000</v>
          </cell>
          <cell r="Z1059" t="str">
            <v>pc</v>
          </cell>
        </row>
        <row r="1060">
          <cell r="A1060" t="str">
            <v>LORIER8b</v>
          </cell>
          <cell r="B1060" t="str">
            <v>Pbl. Lorier Maxi Biasa isi 8</v>
          </cell>
          <cell r="C1060">
            <v>12</v>
          </cell>
          <cell r="D1060" t="str">
            <v>pcs</v>
          </cell>
          <cell r="E1060">
            <v>48000</v>
          </cell>
          <cell r="G1060">
            <v>4000</v>
          </cell>
          <cell r="H1060">
            <v>5000</v>
          </cell>
          <cell r="I1060" t="str">
            <v>pc</v>
          </cell>
          <cell r="J1060">
            <v>5000</v>
          </cell>
          <cell r="K1060" t="str">
            <v>pc</v>
          </cell>
          <cell r="L1060">
            <v>4500</v>
          </cell>
          <cell r="M1060" t="str">
            <v>pc</v>
          </cell>
        </row>
        <row r="1061">
          <cell r="A1061" t="str">
            <v>LORIER10W</v>
          </cell>
          <cell r="B1061" t="str">
            <v>Pbl. Lorier Maxi wing 10</v>
          </cell>
          <cell r="C1061">
            <v>6</v>
          </cell>
          <cell r="D1061" t="str">
            <v>pcs</v>
          </cell>
          <cell r="E1061">
            <v>35000</v>
          </cell>
          <cell r="G1061">
            <v>5833.333333333333</v>
          </cell>
          <cell r="H1061">
            <v>7000</v>
          </cell>
          <cell r="I1061" t="str">
            <v>pc</v>
          </cell>
          <cell r="J1061">
            <v>7000</v>
          </cell>
          <cell r="K1061" t="str">
            <v>pc</v>
          </cell>
          <cell r="L1061">
            <v>6700</v>
          </cell>
          <cell r="M1061" t="str">
            <v>pc</v>
          </cell>
        </row>
        <row r="1062">
          <cell r="A1062" t="str">
            <v>LORIER10B</v>
          </cell>
          <cell r="B1062" t="str">
            <v>Pbl. Lorier Maxi BIASA 10</v>
          </cell>
          <cell r="C1062">
            <v>6</v>
          </cell>
          <cell r="D1062" t="str">
            <v>pcs</v>
          </cell>
          <cell r="E1062">
            <v>35000</v>
          </cell>
          <cell r="G1062">
            <v>5833.333333333333</v>
          </cell>
          <cell r="H1062">
            <v>7000</v>
          </cell>
          <cell r="I1062" t="str">
            <v>pc</v>
          </cell>
          <cell r="J1062">
            <v>7000</v>
          </cell>
          <cell r="K1062" t="str">
            <v>pc</v>
          </cell>
          <cell r="L1062">
            <v>6700</v>
          </cell>
          <cell r="M1062" t="str">
            <v>pc</v>
          </cell>
        </row>
        <row r="1063">
          <cell r="A1063" t="str">
            <v>LORIER8M</v>
          </cell>
          <cell r="B1063" t="str">
            <v>Pbl. Lorier Night 8 30 cm</v>
          </cell>
          <cell r="C1063">
            <v>6</v>
          </cell>
          <cell r="D1063" t="str">
            <v>pcs</v>
          </cell>
          <cell r="E1063">
            <v>42900</v>
          </cell>
          <cell r="F1063">
            <v>85800</v>
          </cell>
          <cell r="G1063">
            <v>7150</v>
          </cell>
          <cell r="H1063">
            <v>8500</v>
          </cell>
          <cell r="I1063" t="str">
            <v>pc</v>
          </cell>
          <cell r="J1063">
            <v>8500</v>
          </cell>
          <cell r="K1063" t="str">
            <v>pc</v>
          </cell>
          <cell r="L1063">
            <v>8000</v>
          </cell>
          <cell r="M1063" t="str">
            <v>pc</v>
          </cell>
        </row>
        <row r="1064">
          <cell r="A1064" t="str">
            <v>LORIER5W</v>
          </cell>
          <cell r="B1064" t="str">
            <v>Pbl. Lorier Maxi Wing 5</v>
          </cell>
          <cell r="C1064">
            <v>48</v>
          </cell>
          <cell r="D1064" t="str">
            <v>pcs</v>
          </cell>
          <cell r="E1064">
            <v>139000</v>
          </cell>
          <cell r="F1064">
            <v>34750</v>
          </cell>
          <cell r="G1064">
            <v>2895.8333333333335</v>
          </cell>
          <cell r="H1064">
            <v>4000</v>
          </cell>
          <cell r="I1064" t="str">
            <v>pc</v>
          </cell>
          <cell r="J1064">
            <v>3500</v>
          </cell>
          <cell r="K1064" t="str">
            <v>pc</v>
          </cell>
          <cell r="L1064">
            <v>3300</v>
          </cell>
          <cell r="M1064" t="str">
            <v>pc</v>
          </cell>
          <cell r="T1064">
            <v>37000</v>
          </cell>
          <cell r="U1064">
            <v>12</v>
          </cell>
          <cell r="V1064" t="str">
            <v>lsn</v>
          </cell>
          <cell r="W1064">
            <v>3000</v>
          </cell>
          <cell r="X1064" t="str">
            <v>pc</v>
          </cell>
          <cell r="Y1064">
            <v>3100</v>
          </cell>
          <cell r="Z1064" t="str">
            <v>pc</v>
          </cell>
        </row>
        <row r="1065">
          <cell r="A1065" t="str">
            <v>LORIER8W</v>
          </cell>
          <cell r="B1065" t="str">
            <v>Pbl. Lorier Maxi Wing 8</v>
          </cell>
          <cell r="C1065">
            <v>48</v>
          </cell>
          <cell r="D1065" t="str">
            <v>pcs</v>
          </cell>
          <cell r="E1065">
            <v>243750</v>
          </cell>
          <cell r="F1065">
            <v>60937.5</v>
          </cell>
          <cell r="G1065">
            <v>5078.125</v>
          </cell>
        </row>
        <row r="1066">
          <cell r="A1066" t="str">
            <v>LORIER6M</v>
          </cell>
          <cell r="B1066" t="str">
            <v>Pbl. Lorier Maxi Wing 6 Malam</v>
          </cell>
          <cell r="C1066">
            <v>48</v>
          </cell>
          <cell r="D1066" t="str">
            <v>pcs</v>
          </cell>
          <cell r="E1066">
            <v>348000</v>
          </cell>
          <cell r="F1066">
            <v>87000</v>
          </cell>
          <cell r="G1066">
            <v>7250</v>
          </cell>
          <cell r="H1066">
            <v>8500</v>
          </cell>
          <cell r="I1066" t="str">
            <v>pc</v>
          </cell>
          <cell r="J1066">
            <v>8500</v>
          </cell>
          <cell r="K1066" t="str">
            <v>pc</v>
          </cell>
          <cell r="L1066">
            <v>7900</v>
          </cell>
          <cell r="M1066" t="str">
            <v>pc</v>
          </cell>
          <cell r="T1066">
            <v>90000</v>
          </cell>
          <cell r="U1066">
            <v>12</v>
          </cell>
          <cell r="V1066" t="str">
            <v>lsn</v>
          </cell>
          <cell r="W1066">
            <v>7400</v>
          </cell>
          <cell r="X1066" t="str">
            <v>pc</v>
          </cell>
          <cell r="Y1066">
            <v>7500</v>
          </cell>
          <cell r="Z1066" t="str">
            <v>pc</v>
          </cell>
        </row>
        <row r="1067">
          <cell r="A1067" t="str">
            <v>CHARM10W</v>
          </cell>
          <cell r="B1067" t="str">
            <v>Pbl. Charm  Wing isi 10</v>
          </cell>
          <cell r="C1067">
            <v>48</v>
          </cell>
          <cell r="D1067" t="str">
            <v>pcs</v>
          </cell>
          <cell r="E1067">
            <v>267000</v>
          </cell>
          <cell r="F1067">
            <v>66750</v>
          </cell>
          <cell r="G1067">
            <v>5562.5</v>
          </cell>
          <cell r="H1067">
            <v>6500</v>
          </cell>
          <cell r="I1067" t="str">
            <v>pc</v>
          </cell>
          <cell r="J1067">
            <v>6300</v>
          </cell>
          <cell r="K1067" t="str">
            <v>pc</v>
          </cell>
          <cell r="L1067">
            <v>5900</v>
          </cell>
          <cell r="M1067" t="str">
            <v>pc</v>
          </cell>
          <cell r="T1067">
            <v>69000</v>
          </cell>
          <cell r="U1067">
            <v>12</v>
          </cell>
          <cell r="V1067" t="str">
            <v>lsn</v>
          </cell>
          <cell r="W1067">
            <v>5700</v>
          </cell>
          <cell r="X1067" t="str">
            <v>pc</v>
          </cell>
          <cell r="Y1067">
            <v>5750</v>
          </cell>
          <cell r="Z1067" t="str">
            <v>pc</v>
          </cell>
        </row>
        <row r="1068">
          <cell r="A1068" t="str">
            <v>CHARM12</v>
          </cell>
          <cell r="B1068" t="str">
            <v>Pbl. Charm  Wing isi 12, 35 cm</v>
          </cell>
          <cell r="C1068">
            <v>20</v>
          </cell>
          <cell r="D1068" t="str">
            <v>pcs</v>
          </cell>
          <cell r="E1068">
            <v>280000</v>
          </cell>
          <cell r="F1068">
            <v>168000</v>
          </cell>
          <cell r="G1068">
            <v>14000</v>
          </cell>
          <cell r="H1068">
            <v>16500</v>
          </cell>
          <cell r="I1068" t="str">
            <v>pc</v>
          </cell>
          <cell r="J1068">
            <v>16500</v>
          </cell>
          <cell r="K1068" t="str">
            <v>pc</v>
          </cell>
          <cell r="L1068">
            <v>16000</v>
          </cell>
          <cell r="M1068" t="str">
            <v>pc</v>
          </cell>
        </row>
        <row r="1069">
          <cell r="A1069" t="str">
            <v>CHARM6</v>
          </cell>
          <cell r="B1069" t="str">
            <v>Pbl. Charm  Wing isi 6, 35 cm</v>
          </cell>
          <cell r="C1069">
            <v>40</v>
          </cell>
          <cell r="D1069" t="str">
            <v>pcs</v>
          </cell>
          <cell r="E1069">
            <v>346000</v>
          </cell>
          <cell r="F1069">
            <v>103800</v>
          </cell>
          <cell r="G1069">
            <v>8650</v>
          </cell>
          <cell r="H1069">
            <v>10000</v>
          </cell>
          <cell r="I1069" t="str">
            <v>pc</v>
          </cell>
          <cell r="J1069">
            <v>10000</v>
          </cell>
          <cell r="K1069" t="str">
            <v>pc</v>
          </cell>
          <cell r="L1069">
            <v>9500</v>
          </cell>
          <cell r="M1069" t="str">
            <v>pc</v>
          </cell>
        </row>
        <row r="1070">
          <cell r="A1070" t="str">
            <v>MASAKO</v>
          </cell>
          <cell r="B1070" t="str">
            <v>Penyedap Rasa Masako</v>
          </cell>
          <cell r="C1070">
            <v>12</v>
          </cell>
          <cell r="D1070" t="str">
            <v>rtg</v>
          </cell>
          <cell r="E1070">
            <v>5750</v>
          </cell>
          <cell r="F1070">
            <v>46000</v>
          </cell>
          <cell r="G1070">
            <v>479.16666666666669</v>
          </cell>
          <cell r="H1070">
            <v>500</v>
          </cell>
          <cell r="I1070" t="str">
            <v>pc</v>
          </cell>
          <cell r="J1070">
            <v>500</v>
          </cell>
          <cell r="K1070" t="str">
            <v>pc</v>
          </cell>
          <cell r="L1070">
            <v>500</v>
          </cell>
          <cell r="M1070" t="str">
            <v>pc</v>
          </cell>
          <cell r="N1070">
            <v>6500</v>
          </cell>
          <cell r="O1070">
            <v>12</v>
          </cell>
          <cell r="P1070" t="str">
            <v>rtg</v>
          </cell>
          <cell r="Q1070">
            <v>48000</v>
          </cell>
          <cell r="R1070">
            <v>8</v>
          </cell>
          <cell r="S1070" t="str">
            <v>pak</v>
          </cell>
        </row>
        <row r="1071">
          <cell r="A1071" t="str">
            <v>MAGGIB</v>
          </cell>
          <cell r="B1071" t="str">
            <v xml:space="preserve">Penyedap Rasa MAGGI BLOK </v>
          </cell>
          <cell r="C1071">
            <v>50</v>
          </cell>
          <cell r="D1071" t="str">
            <v>pcs</v>
          </cell>
          <cell r="E1071">
            <v>21000</v>
          </cell>
          <cell r="G1071">
            <v>420</v>
          </cell>
          <cell r="H1071">
            <v>500</v>
          </cell>
          <cell r="I1071" t="str">
            <v>pc</v>
          </cell>
          <cell r="J1071">
            <v>500</v>
          </cell>
          <cell r="K1071" t="str">
            <v>pc</v>
          </cell>
          <cell r="L1071">
            <v>500</v>
          </cell>
          <cell r="M1071" t="str">
            <v>pc</v>
          </cell>
        </row>
        <row r="1072">
          <cell r="A1072" t="str">
            <v>MAGGI350</v>
          </cell>
          <cell r="B1072" t="str">
            <v>Penyedap Rasa MAGGI350</v>
          </cell>
          <cell r="C1072">
            <v>6</v>
          </cell>
          <cell r="D1072" t="str">
            <v>pcs</v>
          </cell>
          <cell r="E1072">
            <v>96000</v>
          </cell>
          <cell r="F1072">
            <v>192000</v>
          </cell>
          <cell r="G1072">
            <v>16000</v>
          </cell>
          <cell r="H1072">
            <v>19000</v>
          </cell>
          <cell r="I1072" t="str">
            <v>pc</v>
          </cell>
          <cell r="J1072">
            <v>19000</v>
          </cell>
          <cell r="K1072" t="str">
            <v>pc</v>
          </cell>
          <cell r="L1072">
            <v>18500</v>
          </cell>
          <cell r="M1072" t="str">
            <v>pc</v>
          </cell>
        </row>
        <row r="1073">
          <cell r="A1073" t="str">
            <v>MAGGI150</v>
          </cell>
          <cell r="B1073" t="str">
            <v>Penyedap Rasa MAGGI150</v>
          </cell>
          <cell r="C1073">
            <v>6</v>
          </cell>
          <cell r="D1073" t="str">
            <v>pcs</v>
          </cell>
          <cell r="E1073">
            <v>42000</v>
          </cell>
          <cell r="F1073">
            <v>84000</v>
          </cell>
          <cell r="G1073">
            <v>7000</v>
          </cell>
          <cell r="H1073">
            <v>9000</v>
          </cell>
          <cell r="I1073" t="str">
            <v>pc</v>
          </cell>
          <cell r="J1073">
            <v>9000</v>
          </cell>
          <cell r="K1073" t="str">
            <v>pc</v>
          </cell>
          <cell r="L1073">
            <v>8500</v>
          </cell>
          <cell r="M1073" t="str">
            <v>pc</v>
          </cell>
        </row>
        <row r="1074">
          <cell r="A1074" t="str">
            <v>MAGGIR</v>
          </cell>
          <cell r="B1074" t="str">
            <v>Penyedap Rasa MAGGI RENTENG</v>
          </cell>
          <cell r="C1074">
            <v>12</v>
          </cell>
          <cell r="D1074" t="str">
            <v>pcs</v>
          </cell>
          <cell r="E1074">
            <v>3692.25</v>
          </cell>
          <cell r="F1074">
            <v>14769</v>
          </cell>
          <cell r="G1074">
            <v>307.6875</v>
          </cell>
          <cell r="N1074">
            <v>5000</v>
          </cell>
          <cell r="P1074" t="str">
            <v>rtg</v>
          </cell>
        </row>
        <row r="1075">
          <cell r="A1075" t="str">
            <v>PEPACTION190</v>
          </cell>
          <cell r="B1075" t="str">
            <v>Pepsodent Action 123 190 gr</v>
          </cell>
          <cell r="C1075">
            <v>48</v>
          </cell>
          <cell r="D1075" t="str">
            <v>pcs</v>
          </cell>
          <cell r="E1075">
            <v>739200</v>
          </cell>
          <cell r="F1075">
            <v>184800</v>
          </cell>
          <cell r="G1075">
            <v>15400</v>
          </cell>
          <cell r="H1075">
            <v>17000</v>
          </cell>
          <cell r="I1075" t="str">
            <v>pc</v>
          </cell>
          <cell r="J1075">
            <v>16500</v>
          </cell>
          <cell r="K1075" t="str">
            <v>pc</v>
          </cell>
          <cell r="L1075">
            <v>16500</v>
          </cell>
          <cell r="M1075" t="str">
            <v>pc</v>
          </cell>
          <cell r="Q1075">
            <v>170000</v>
          </cell>
          <cell r="R1075">
            <v>12</v>
          </cell>
          <cell r="S1075" t="str">
            <v>pak</v>
          </cell>
          <cell r="W1075">
            <v>14100</v>
          </cell>
          <cell r="X1075" t="str">
            <v>pc</v>
          </cell>
          <cell r="Y1075">
            <v>14166.666666666666</v>
          </cell>
          <cell r="Z1075" t="str">
            <v>pc</v>
          </cell>
        </row>
        <row r="1076">
          <cell r="A1076" t="str">
            <v>PEPACTION75</v>
          </cell>
          <cell r="B1076" t="str">
            <v>Pepsodent Action 123 75 gr</v>
          </cell>
          <cell r="C1076">
            <v>144</v>
          </cell>
          <cell r="D1076" t="str">
            <v>pcs</v>
          </cell>
          <cell r="E1076">
            <v>849600</v>
          </cell>
          <cell r="F1076">
            <v>70800</v>
          </cell>
          <cell r="G1076">
            <v>5900</v>
          </cell>
          <cell r="H1076">
            <v>7000</v>
          </cell>
          <cell r="I1076" t="str">
            <v>pc</v>
          </cell>
          <cell r="J1076">
            <v>6700</v>
          </cell>
          <cell r="K1076" t="str">
            <v>pc</v>
          </cell>
          <cell r="L1076">
            <v>6300</v>
          </cell>
          <cell r="M1076" t="str">
            <v>pc</v>
          </cell>
          <cell r="Q1076">
            <v>73500</v>
          </cell>
          <cell r="R1076">
            <v>12</v>
          </cell>
          <cell r="S1076" t="str">
            <v>pak</v>
          </cell>
          <cell r="W1076">
            <v>6100</v>
          </cell>
          <cell r="X1076" t="str">
            <v>pc</v>
          </cell>
          <cell r="Y1076">
            <v>6125</v>
          </cell>
          <cell r="Z1076" t="str">
            <v>pc</v>
          </cell>
        </row>
        <row r="1077">
          <cell r="A1077" t="str">
            <v>PEP120</v>
          </cell>
          <cell r="B1077" t="str">
            <v>Pepsodent Biasa 120 gr</v>
          </cell>
          <cell r="C1077">
            <v>12</v>
          </cell>
          <cell r="D1077" t="str">
            <v>pcs</v>
          </cell>
          <cell r="E1077">
            <v>70000</v>
          </cell>
          <cell r="F1077">
            <v>70000</v>
          </cell>
          <cell r="G1077">
            <v>5833.333333333333</v>
          </cell>
          <cell r="H1077">
            <v>7000</v>
          </cell>
          <cell r="I1077" t="str">
            <v>pc</v>
          </cell>
          <cell r="J1077">
            <v>6700</v>
          </cell>
          <cell r="K1077" t="str">
            <v>pc</v>
          </cell>
          <cell r="L1077">
            <v>6500</v>
          </cell>
          <cell r="M1077" t="str">
            <v>pc</v>
          </cell>
          <cell r="Q1077">
            <v>74000</v>
          </cell>
          <cell r="R1077">
            <v>12</v>
          </cell>
          <cell r="S1077" t="str">
            <v>pak</v>
          </cell>
          <cell r="W1077">
            <v>6000</v>
          </cell>
          <cell r="X1077" t="str">
            <v>pc</v>
          </cell>
          <cell r="Y1077">
            <v>6200</v>
          </cell>
          <cell r="Z1077" t="str">
            <v>pc</v>
          </cell>
        </row>
        <row r="1078">
          <cell r="A1078" t="str">
            <v>PEP190</v>
          </cell>
          <cell r="B1078" t="str">
            <v>Pepsodent Biasa 190 gr</v>
          </cell>
          <cell r="C1078">
            <v>12</v>
          </cell>
          <cell r="D1078" t="str">
            <v>pcs</v>
          </cell>
          <cell r="E1078">
            <v>105000</v>
          </cell>
          <cell r="F1078">
            <v>105000</v>
          </cell>
          <cell r="G1078">
            <v>8750</v>
          </cell>
          <cell r="H1078">
            <v>10000</v>
          </cell>
          <cell r="I1078" t="str">
            <v>pc</v>
          </cell>
          <cell r="J1078">
            <v>9500</v>
          </cell>
          <cell r="K1078" t="str">
            <v>pc</v>
          </cell>
          <cell r="L1078">
            <v>9500</v>
          </cell>
          <cell r="M1078" t="str">
            <v>pc</v>
          </cell>
          <cell r="Q1078">
            <v>110000</v>
          </cell>
          <cell r="R1078">
            <v>12</v>
          </cell>
          <cell r="S1078" t="str">
            <v>pak</v>
          </cell>
          <cell r="Y1078">
            <v>9200</v>
          </cell>
          <cell r="Z1078">
            <v>0</v>
          </cell>
        </row>
        <row r="1079">
          <cell r="A1079" t="str">
            <v>PEP225</v>
          </cell>
          <cell r="B1079" t="str">
            <v>Pepsodent Biasa 225 gr</v>
          </cell>
          <cell r="C1079">
            <v>36</v>
          </cell>
          <cell r="D1079" t="str">
            <v>pcs</v>
          </cell>
          <cell r="E1079">
            <v>387000</v>
          </cell>
          <cell r="F1079">
            <v>129000</v>
          </cell>
          <cell r="G1079">
            <v>10750</v>
          </cell>
          <cell r="H1079">
            <v>12500</v>
          </cell>
          <cell r="I1079" t="str">
            <v>pc</v>
          </cell>
          <cell r="J1079">
            <v>12000</v>
          </cell>
          <cell r="K1079" t="str">
            <v>pc</v>
          </cell>
          <cell r="L1079">
            <v>11500</v>
          </cell>
          <cell r="M1079" t="str">
            <v>pc</v>
          </cell>
        </row>
        <row r="1080">
          <cell r="A1080" t="str">
            <v>PEP25</v>
          </cell>
          <cell r="B1080" t="str">
            <v>Pepsodent Biasa 25 gr</v>
          </cell>
          <cell r="C1080">
            <v>432</v>
          </cell>
          <cell r="D1080" t="str">
            <v>pak</v>
          </cell>
          <cell r="E1080">
            <v>604800</v>
          </cell>
          <cell r="F1080">
            <v>16800</v>
          </cell>
          <cell r="G1080">
            <v>1400</v>
          </cell>
          <cell r="H1080">
            <v>2000</v>
          </cell>
          <cell r="I1080" t="str">
            <v>pc</v>
          </cell>
          <cell r="J1080">
            <v>2000</v>
          </cell>
          <cell r="K1080" t="str">
            <v>pc</v>
          </cell>
          <cell r="L1080">
            <v>1800</v>
          </cell>
          <cell r="M1080" t="str">
            <v>pc</v>
          </cell>
          <cell r="Q1080">
            <v>19500</v>
          </cell>
          <cell r="R1080">
            <v>12</v>
          </cell>
          <cell r="S1080" t="str">
            <v>pak</v>
          </cell>
          <cell r="W1080">
            <v>1600</v>
          </cell>
          <cell r="X1080" t="str">
            <v>pc</v>
          </cell>
          <cell r="Y1080">
            <v>1700</v>
          </cell>
          <cell r="Z1080" t="str">
            <v>pc</v>
          </cell>
        </row>
        <row r="1081">
          <cell r="A1081" t="str">
            <v>PEP75</v>
          </cell>
          <cell r="B1081" t="str">
            <v>Pepsodent Biasa 75 gr</v>
          </cell>
          <cell r="C1081">
            <v>144</v>
          </cell>
          <cell r="D1081" t="str">
            <v>pak</v>
          </cell>
          <cell r="E1081">
            <v>554400</v>
          </cell>
          <cell r="F1081">
            <v>46200</v>
          </cell>
          <cell r="G1081">
            <v>3850</v>
          </cell>
          <cell r="H1081">
            <v>5000</v>
          </cell>
          <cell r="I1081" t="str">
            <v>pc</v>
          </cell>
          <cell r="J1081">
            <v>4700</v>
          </cell>
          <cell r="K1081" t="str">
            <v>pc</v>
          </cell>
          <cell r="L1081">
            <v>4500</v>
          </cell>
          <cell r="M1081" t="str">
            <v>pc</v>
          </cell>
          <cell r="Q1081">
            <v>49000</v>
          </cell>
          <cell r="R1081">
            <v>12</v>
          </cell>
          <cell r="S1081" t="str">
            <v>pak</v>
          </cell>
          <cell r="W1081">
            <v>4000</v>
          </cell>
          <cell r="X1081" t="str">
            <v>pc</v>
          </cell>
          <cell r="Y1081">
            <v>4100</v>
          </cell>
          <cell r="Z1081" t="str">
            <v>pc</v>
          </cell>
        </row>
        <row r="1082">
          <cell r="A1082" t="str">
            <v>PEPCENTER</v>
          </cell>
          <cell r="B1082" t="str">
            <v>Pepsodent Center Fres 160 gr</v>
          </cell>
          <cell r="C1082">
            <v>12</v>
          </cell>
          <cell r="D1082" t="str">
            <v>pcs</v>
          </cell>
          <cell r="E1082">
            <v>153300</v>
          </cell>
          <cell r="G1082">
            <v>12775</v>
          </cell>
          <cell r="H1082">
            <v>14000</v>
          </cell>
          <cell r="I1082" t="str">
            <v>pc</v>
          </cell>
          <cell r="J1082">
            <v>13500</v>
          </cell>
          <cell r="K1082" t="str">
            <v>pc</v>
          </cell>
          <cell r="L1082">
            <v>13200</v>
          </cell>
          <cell r="M1082" t="str">
            <v>pc</v>
          </cell>
          <cell r="Q1082">
            <v>157000</v>
          </cell>
          <cell r="R1082">
            <v>12</v>
          </cell>
          <cell r="S1082" t="str">
            <v>pak</v>
          </cell>
          <cell r="W1082">
            <v>13000</v>
          </cell>
          <cell r="X1082" t="str">
            <v>pc</v>
          </cell>
          <cell r="Y1082">
            <v>13083.333333333334</v>
          </cell>
          <cell r="Z1082" t="str">
            <v>pc</v>
          </cell>
        </row>
        <row r="1083">
          <cell r="A1083" t="str">
            <v>EXPERT160</v>
          </cell>
          <cell r="B1083" t="str">
            <v>Pepsodent Expert Protection 160 gr</v>
          </cell>
          <cell r="C1083">
            <v>48</v>
          </cell>
          <cell r="D1083" t="str">
            <v>pak</v>
          </cell>
          <cell r="E1083">
            <v>1005600</v>
          </cell>
          <cell r="F1083">
            <v>251400</v>
          </cell>
          <cell r="G1083">
            <v>20950</v>
          </cell>
          <cell r="H1083">
            <v>22500</v>
          </cell>
          <cell r="I1083" t="str">
            <v>pc</v>
          </cell>
          <cell r="J1083">
            <v>22500</v>
          </cell>
          <cell r="K1083" t="str">
            <v>pc</v>
          </cell>
          <cell r="L1083">
            <v>22000</v>
          </cell>
          <cell r="M1083" t="str">
            <v>pc</v>
          </cell>
        </row>
        <row r="1084">
          <cell r="A1084" t="str">
            <v>HERBAL120</v>
          </cell>
          <cell r="B1084" t="str">
            <v>Pepsodent Herbal 120 g</v>
          </cell>
          <cell r="C1084">
            <v>72</v>
          </cell>
          <cell r="D1084" t="str">
            <v>pcs</v>
          </cell>
          <cell r="E1084">
            <v>748800</v>
          </cell>
          <cell r="F1084">
            <v>124800</v>
          </cell>
          <cell r="G1084">
            <v>10400</v>
          </cell>
          <cell r="H1084">
            <v>12000</v>
          </cell>
          <cell r="I1084" t="str">
            <v>pc</v>
          </cell>
          <cell r="J1084">
            <v>11500</v>
          </cell>
          <cell r="K1084" t="str">
            <v>pc</v>
          </cell>
          <cell r="L1084">
            <v>11000</v>
          </cell>
          <cell r="M1084" t="str">
            <v>pc</v>
          </cell>
          <cell r="Q1084">
            <v>126000</v>
          </cell>
          <cell r="R1084">
            <v>12</v>
          </cell>
          <cell r="S1084" t="str">
            <v>pak</v>
          </cell>
          <cell r="W1084">
            <v>10400</v>
          </cell>
          <cell r="X1084" t="str">
            <v>pc</v>
          </cell>
          <cell r="Y1084">
            <v>10500</v>
          </cell>
          <cell r="Z1084" t="str">
            <v>pc</v>
          </cell>
        </row>
        <row r="1085">
          <cell r="A1085" t="str">
            <v>HERBAL190</v>
          </cell>
          <cell r="B1085" t="str">
            <v>Pepsodent Herbal 190 g</v>
          </cell>
          <cell r="C1085">
            <v>48</v>
          </cell>
          <cell r="D1085" t="str">
            <v>pcs</v>
          </cell>
          <cell r="E1085">
            <v>739200</v>
          </cell>
          <cell r="F1085">
            <v>184800</v>
          </cell>
          <cell r="G1085">
            <v>15400</v>
          </cell>
          <cell r="H1085">
            <v>17000</v>
          </cell>
          <cell r="I1085" t="str">
            <v>pc</v>
          </cell>
          <cell r="J1085">
            <v>16500</v>
          </cell>
          <cell r="K1085" t="str">
            <v>pc</v>
          </cell>
          <cell r="L1085">
            <v>16000</v>
          </cell>
          <cell r="M1085" t="str">
            <v>pc</v>
          </cell>
          <cell r="Q1085">
            <v>184000</v>
          </cell>
          <cell r="R1085">
            <v>12</v>
          </cell>
          <cell r="S1085" t="str">
            <v>pak</v>
          </cell>
          <cell r="W1085">
            <v>15400</v>
          </cell>
          <cell r="X1085" t="str">
            <v>pc</v>
          </cell>
          <cell r="Y1085">
            <v>15500</v>
          </cell>
          <cell r="Z1085" t="str">
            <v>pc</v>
          </cell>
        </row>
        <row r="1086">
          <cell r="A1086" t="str">
            <v>HERBAL75</v>
          </cell>
          <cell r="B1086" t="str">
            <v>Pepsodent Herbal 75 g</v>
          </cell>
          <cell r="C1086">
            <v>144</v>
          </cell>
          <cell r="D1086" t="str">
            <v>pcs</v>
          </cell>
          <cell r="E1086">
            <v>936000</v>
          </cell>
          <cell r="F1086">
            <v>78000</v>
          </cell>
          <cell r="G1086">
            <v>6500</v>
          </cell>
          <cell r="H1086">
            <v>7500</v>
          </cell>
          <cell r="I1086" t="str">
            <v>pc</v>
          </cell>
          <cell r="J1086">
            <v>7300</v>
          </cell>
          <cell r="K1086" t="str">
            <v>pc</v>
          </cell>
          <cell r="L1086">
            <v>7000</v>
          </cell>
          <cell r="M1086" t="str">
            <v>pc</v>
          </cell>
          <cell r="Q1086">
            <v>81000</v>
          </cell>
          <cell r="R1086">
            <v>12</v>
          </cell>
          <cell r="S1086" t="str">
            <v>pak</v>
          </cell>
          <cell r="W1086">
            <v>6750</v>
          </cell>
          <cell r="X1086" t="str">
            <v>pc</v>
          </cell>
          <cell r="Y1086">
            <v>6800</v>
          </cell>
          <cell r="Z1086" t="str">
            <v>pc</v>
          </cell>
        </row>
        <row r="1087">
          <cell r="A1087" t="str">
            <v>PEPA</v>
          </cell>
          <cell r="B1087" t="str">
            <v>Pepsodent Junior Anak</v>
          </cell>
          <cell r="C1087">
            <v>36</v>
          </cell>
          <cell r="D1087" t="str">
            <v>dos</v>
          </cell>
          <cell r="E1087">
            <v>180000</v>
          </cell>
          <cell r="F1087">
            <v>60000</v>
          </cell>
          <cell r="G1087">
            <v>5000</v>
          </cell>
          <cell r="H1087">
            <v>6000</v>
          </cell>
          <cell r="I1087" t="str">
            <v>pc</v>
          </cell>
          <cell r="J1087">
            <v>5700</v>
          </cell>
          <cell r="K1087" t="str">
            <v>pc</v>
          </cell>
          <cell r="L1087">
            <v>5400</v>
          </cell>
          <cell r="M1087" t="str">
            <v>pc</v>
          </cell>
          <cell r="Q1087">
            <v>63000</v>
          </cell>
          <cell r="R1087">
            <v>12</v>
          </cell>
          <cell r="S1087" t="str">
            <v>pak</v>
          </cell>
          <cell r="W1087">
            <v>5200</v>
          </cell>
          <cell r="X1087" t="str">
            <v>pc</v>
          </cell>
          <cell r="Y1087">
            <v>5250</v>
          </cell>
          <cell r="Z1087" t="str">
            <v>pc</v>
          </cell>
        </row>
        <row r="1088">
          <cell r="A1088" t="str">
            <v>PEP150</v>
          </cell>
          <cell r="B1088" t="str">
            <v>Pepsodent Kumur Herbal 150 ml</v>
          </cell>
          <cell r="C1088">
            <v>6</v>
          </cell>
          <cell r="D1088" t="str">
            <v>btl</v>
          </cell>
          <cell r="E1088">
            <v>46800.6</v>
          </cell>
          <cell r="F1088">
            <v>93601.2</v>
          </cell>
          <cell r="G1088">
            <v>7800.0999999999995</v>
          </cell>
          <cell r="H1088">
            <v>9000</v>
          </cell>
          <cell r="I1088" t="str">
            <v>btl</v>
          </cell>
          <cell r="J1088">
            <v>8600</v>
          </cell>
          <cell r="K1088" t="str">
            <v>btl</v>
          </cell>
          <cell r="L1088">
            <v>8200</v>
          </cell>
          <cell r="M1088" t="str">
            <v>btl</v>
          </cell>
          <cell r="T1088">
            <v>96500</v>
          </cell>
          <cell r="U1088">
            <v>12</v>
          </cell>
          <cell r="V1088" t="str">
            <v>lsn</v>
          </cell>
          <cell r="W1088">
            <v>8000</v>
          </cell>
          <cell r="X1088" t="str">
            <v>btl</v>
          </cell>
          <cell r="Y1088">
            <v>8041.666666666667</v>
          </cell>
          <cell r="Z1088" t="str">
            <v>btl</v>
          </cell>
        </row>
        <row r="1089">
          <cell r="A1089" t="str">
            <v>PEPW120</v>
          </cell>
          <cell r="B1089" t="str">
            <v>Pepsodent Whitening 120 gr</v>
          </cell>
          <cell r="C1089">
            <v>72</v>
          </cell>
          <cell r="D1089" t="str">
            <v>pcs</v>
          </cell>
          <cell r="E1089">
            <v>396000</v>
          </cell>
          <cell r="F1089">
            <v>66000</v>
          </cell>
          <cell r="G1089">
            <v>5500</v>
          </cell>
        </row>
        <row r="1090">
          <cell r="A1090" t="str">
            <v>PEPW190</v>
          </cell>
          <cell r="B1090" t="str">
            <v>Pepsodent Whitening / Siwak 190 gr</v>
          </cell>
          <cell r="C1090">
            <v>6</v>
          </cell>
          <cell r="D1090" t="str">
            <v>pcs</v>
          </cell>
          <cell r="E1090">
            <v>95000</v>
          </cell>
          <cell r="F1090">
            <v>190000</v>
          </cell>
          <cell r="G1090">
            <v>15833.333333333334</v>
          </cell>
          <cell r="H1090">
            <v>17000</v>
          </cell>
          <cell r="I1090" t="str">
            <v>pc</v>
          </cell>
          <cell r="J1090">
            <v>16500</v>
          </cell>
          <cell r="K1090" t="str">
            <v>pc</v>
          </cell>
          <cell r="L1090">
            <v>16500</v>
          </cell>
          <cell r="M1090" t="str">
            <v>pc</v>
          </cell>
        </row>
        <row r="1091">
          <cell r="A1091" t="str">
            <v>PEPW75</v>
          </cell>
          <cell r="B1091" t="str">
            <v>Pepsodent Whitening 75 gr</v>
          </cell>
          <cell r="C1091">
            <v>12</v>
          </cell>
          <cell r="D1091" t="str">
            <v>pak</v>
          </cell>
          <cell r="E1091">
            <v>70800</v>
          </cell>
          <cell r="F1091">
            <v>849600</v>
          </cell>
          <cell r="G1091">
            <v>5900</v>
          </cell>
          <cell r="H1091">
            <v>6500</v>
          </cell>
          <cell r="I1091" t="str">
            <v>pc</v>
          </cell>
          <cell r="J1091">
            <v>6500</v>
          </cell>
          <cell r="K1091" t="str">
            <v>pc</v>
          </cell>
          <cell r="L1091">
            <v>6200</v>
          </cell>
          <cell r="M1091" t="str">
            <v>pc</v>
          </cell>
          <cell r="T1091">
            <v>73000</v>
          </cell>
          <cell r="U1091">
            <v>12</v>
          </cell>
          <cell r="V1091" t="str">
            <v>lsn</v>
          </cell>
          <cell r="W1091">
            <v>6000</v>
          </cell>
          <cell r="X1091" t="str">
            <v>pc</v>
          </cell>
          <cell r="Y1091">
            <v>6083.333333333333</v>
          </cell>
          <cell r="Z1091" t="str">
            <v>pc</v>
          </cell>
        </row>
        <row r="1092">
          <cell r="A1092" t="str">
            <v>PEPSEN100</v>
          </cell>
          <cell r="B1092" t="str">
            <v>Pepsodent Sensitif Expert 100 gr</v>
          </cell>
          <cell r="C1092">
            <v>36</v>
          </cell>
          <cell r="D1092" t="str">
            <v>pak</v>
          </cell>
          <cell r="E1092">
            <v>768600</v>
          </cell>
          <cell r="F1092">
            <v>256200</v>
          </cell>
          <cell r="G1092">
            <v>21350</v>
          </cell>
          <cell r="H1092">
            <v>24000</v>
          </cell>
          <cell r="I1092" t="str">
            <v>pc</v>
          </cell>
          <cell r="J1092">
            <v>23500</v>
          </cell>
          <cell r="K1092" t="str">
            <v>pc</v>
          </cell>
          <cell r="L1092">
            <v>23000</v>
          </cell>
          <cell r="M1092" t="str">
            <v>pc</v>
          </cell>
        </row>
        <row r="1093">
          <cell r="A1093" t="str">
            <v>MIKAJ</v>
          </cell>
          <cell r="B1093" t="str">
            <v>Plastik Mika KUE</v>
          </cell>
          <cell r="C1093">
            <v>50</v>
          </cell>
          <cell r="D1093" t="str">
            <v>pcs</v>
          </cell>
          <cell r="E1093">
            <v>100000</v>
          </cell>
          <cell r="G1093">
            <v>2000</v>
          </cell>
          <cell r="H1093">
            <v>3500</v>
          </cell>
          <cell r="I1093" t="str">
            <v>pc</v>
          </cell>
          <cell r="J1093">
            <v>3500</v>
          </cell>
          <cell r="K1093" t="str">
            <v>pc</v>
          </cell>
          <cell r="L1093">
            <v>3500</v>
          </cell>
          <cell r="M1093" t="str">
            <v>pc</v>
          </cell>
        </row>
        <row r="1094">
          <cell r="A1094" t="str">
            <v>MIKA3A</v>
          </cell>
          <cell r="B1094" t="str">
            <v>Plastik Mika 3 A</v>
          </cell>
          <cell r="C1094">
            <v>25</v>
          </cell>
          <cell r="D1094" t="str">
            <v>pak</v>
          </cell>
          <cell r="E1094">
            <v>7500</v>
          </cell>
          <cell r="F1094">
            <v>30000</v>
          </cell>
          <cell r="G1094">
            <v>300</v>
          </cell>
          <cell r="Q1094">
            <v>9000</v>
          </cell>
          <cell r="S1094" t="str">
            <v>ikat</v>
          </cell>
          <cell r="AA1094">
            <v>33000</v>
          </cell>
          <cell r="AB1094" t="str">
            <v>pak</v>
          </cell>
        </row>
        <row r="1095">
          <cell r="A1095" t="str">
            <v>MIKA4A</v>
          </cell>
          <cell r="B1095" t="str">
            <v>Plastik Mika 4 A</v>
          </cell>
          <cell r="C1095">
            <v>100</v>
          </cell>
          <cell r="D1095" t="str">
            <v>pak</v>
          </cell>
          <cell r="E1095">
            <v>20000</v>
          </cell>
          <cell r="F1095">
            <v>5000</v>
          </cell>
          <cell r="G1095">
            <v>200</v>
          </cell>
          <cell r="Q1095">
            <v>6500</v>
          </cell>
          <cell r="S1095" t="str">
            <v>ikat</v>
          </cell>
          <cell r="AA1095">
            <v>23000</v>
          </cell>
          <cell r="AB1095" t="str">
            <v>pak</v>
          </cell>
        </row>
        <row r="1096">
          <cell r="A1096" t="str">
            <v>MIKA5A</v>
          </cell>
          <cell r="B1096" t="str">
            <v>Plastik Mika 5 A</v>
          </cell>
          <cell r="C1096">
            <v>100</v>
          </cell>
          <cell r="D1096" t="str">
            <v>pak</v>
          </cell>
          <cell r="E1096">
            <v>15000</v>
          </cell>
          <cell r="F1096">
            <v>3750</v>
          </cell>
          <cell r="G1096">
            <v>150</v>
          </cell>
          <cell r="Q1096">
            <v>5000</v>
          </cell>
          <cell r="S1096" t="str">
            <v>ikat</v>
          </cell>
          <cell r="AA1096">
            <v>18000</v>
          </cell>
          <cell r="AB1096" t="str">
            <v>pak</v>
          </cell>
        </row>
        <row r="1097">
          <cell r="A1097" t="str">
            <v>MIKA6A</v>
          </cell>
          <cell r="B1097" t="str">
            <v>Plastik Mika 6 A</v>
          </cell>
          <cell r="C1097">
            <v>100</v>
          </cell>
          <cell r="D1097" t="str">
            <v>pak</v>
          </cell>
          <cell r="E1097">
            <v>11000</v>
          </cell>
          <cell r="G1097">
            <v>110</v>
          </cell>
          <cell r="H1097">
            <v>7000</v>
          </cell>
          <cell r="I1097" t="str">
            <v>ikat</v>
          </cell>
          <cell r="J1097">
            <v>7000</v>
          </cell>
          <cell r="K1097" t="str">
            <v>ikat</v>
          </cell>
          <cell r="Q1097">
            <v>12500</v>
          </cell>
          <cell r="S1097" t="str">
            <v>pak</v>
          </cell>
          <cell r="AB1097" t="str">
            <v>pak</v>
          </cell>
        </row>
        <row r="1098">
          <cell r="A1098" t="str">
            <v>PLASTIKS</v>
          </cell>
          <cell r="B1098" t="str">
            <v>Plastik SMILE</v>
          </cell>
          <cell r="C1098">
            <v>10</v>
          </cell>
          <cell r="D1098" t="str">
            <v>pak</v>
          </cell>
          <cell r="E1098">
            <v>33200</v>
          </cell>
          <cell r="F1098">
            <v>830000</v>
          </cell>
          <cell r="G1098">
            <v>3320</v>
          </cell>
          <cell r="H1098">
            <v>5500</v>
          </cell>
          <cell r="I1098" t="str">
            <v>pc</v>
          </cell>
          <cell r="J1098">
            <v>5500</v>
          </cell>
          <cell r="K1098" t="str">
            <v>pc</v>
          </cell>
          <cell r="L1098">
            <v>5000</v>
          </cell>
          <cell r="M1098" t="str">
            <v>pc</v>
          </cell>
          <cell r="Q1098">
            <v>36000</v>
          </cell>
          <cell r="R1098">
            <v>10</v>
          </cell>
          <cell r="S1098" t="str">
            <v>/Ikat</v>
          </cell>
        </row>
        <row r="1099">
          <cell r="A1099" t="str">
            <v>PLASTIK5</v>
          </cell>
          <cell r="B1099" t="str">
            <v>Plastik 5 kg belang</v>
          </cell>
          <cell r="C1099">
            <v>10</v>
          </cell>
          <cell r="D1099" t="str">
            <v>pak</v>
          </cell>
          <cell r="E1099">
            <v>33000</v>
          </cell>
          <cell r="G1099">
            <v>3300</v>
          </cell>
          <cell r="H1099">
            <v>4000</v>
          </cell>
          <cell r="I1099" t="str">
            <v>pc</v>
          </cell>
          <cell r="J1099">
            <v>4000</v>
          </cell>
          <cell r="K1099" t="str">
            <v>pc</v>
          </cell>
          <cell r="L1099">
            <v>3700</v>
          </cell>
          <cell r="M1099" t="str">
            <v>pc</v>
          </cell>
          <cell r="Q1099">
            <v>35000</v>
          </cell>
          <cell r="R1099">
            <v>10</v>
          </cell>
          <cell r="S1099" t="str">
            <v>/Ikat</v>
          </cell>
          <cell r="W1099">
            <v>3400</v>
          </cell>
          <cell r="X1099" t="str">
            <v>kpg</v>
          </cell>
          <cell r="Y1099">
            <v>3500</v>
          </cell>
          <cell r="Z1099" t="str">
            <v>kpg</v>
          </cell>
        </row>
        <row r="1100">
          <cell r="A1100" t="str">
            <v>PLASTIKL</v>
          </cell>
          <cell r="B1100" t="str">
            <v>Plastik Es Lilin</v>
          </cell>
          <cell r="C1100">
            <v>4</v>
          </cell>
          <cell r="D1100" t="str">
            <v>pak</v>
          </cell>
          <cell r="E1100">
            <v>8000</v>
          </cell>
          <cell r="G1100">
            <v>2000</v>
          </cell>
          <cell r="H1100">
            <v>3000</v>
          </cell>
          <cell r="I1100" t="str">
            <v>kpg</v>
          </cell>
          <cell r="J1100">
            <v>3000</v>
          </cell>
          <cell r="K1100" t="str">
            <v>kpg</v>
          </cell>
          <cell r="L1100">
            <v>3000</v>
          </cell>
          <cell r="M1100" t="str">
            <v>kpg</v>
          </cell>
          <cell r="Q1100">
            <v>10000</v>
          </cell>
          <cell r="R1100">
            <v>4</v>
          </cell>
          <cell r="S1100" t="str">
            <v>pak</v>
          </cell>
        </row>
        <row r="1101">
          <cell r="A1101" t="str">
            <v>KARET</v>
          </cell>
          <cell r="B1101" t="str">
            <v>Plastik Karet Bening</v>
          </cell>
          <cell r="C1101">
            <v>1</v>
          </cell>
          <cell r="D1101" t="str">
            <v>pak</v>
          </cell>
          <cell r="E1101">
            <v>20000</v>
          </cell>
        </row>
        <row r="1102">
          <cell r="A1102" t="str">
            <v>KARETM</v>
          </cell>
          <cell r="B1102" t="str">
            <v>Plastik Karet Merah</v>
          </cell>
          <cell r="C1102">
            <v>1</v>
          </cell>
          <cell r="D1102" t="str">
            <v>pak</v>
          </cell>
          <cell r="E1102">
            <v>17000</v>
          </cell>
          <cell r="F1102">
            <v>34000</v>
          </cell>
          <cell r="G1102">
            <v>17000</v>
          </cell>
          <cell r="H1102">
            <v>19000</v>
          </cell>
          <cell r="I1102" t="str">
            <v>pak</v>
          </cell>
          <cell r="J1102">
            <v>18500</v>
          </cell>
          <cell r="K1102" t="str">
            <v>pak</v>
          </cell>
        </row>
        <row r="1103">
          <cell r="A1103" t="str">
            <v>PLASTIK5</v>
          </cell>
          <cell r="B1103" t="str">
            <v>Plastik Kurma Hitam Merah</v>
          </cell>
          <cell r="C1103">
            <v>10</v>
          </cell>
          <cell r="D1103" t="str">
            <v>kpg</v>
          </cell>
          <cell r="E1103">
            <v>35000</v>
          </cell>
          <cell r="G1103">
            <v>3500</v>
          </cell>
          <cell r="H1103">
            <v>4000</v>
          </cell>
          <cell r="I1103" t="str">
            <v>kpg</v>
          </cell>
          <cell r="J1103">
            <v>4000</v>
          </cell>
          <cell r="K1103" t="str">
            <v>kpg</v>
          </cell>
          <cell r="L1103">
            <v>4000</v>
          </cell>
          <cell r="M1103" t="str">
            <v>kpg</v>
          </cell>
          <cell r="Q1103">
            <v>38000</v>
          </cell>
          <cell r="S1103" t="str">
            <v>ikat</v>
          </cell>
          <cell r="W1103">
            <v>3750</v>
          </cell>
          <cell r="X1103" t="str">
            <v>kpg</v>
          </cell>
          <cell r="Y1103">
            <v>3800</v>
          </cell>
          <cell r="AA1103">
            <v>36000</v>
          </cell>
          <cell r="AB1103" t="str">
            <v>/ikat</v>
          </cell>
        </row>
        <row r="1104">
          <cell r="A1104" t="str">
            <v>PLASTIK10</v>
          </cell>
          <cell r="B1104" t="str">
            <v>Plastik Kurma Hitam Putih</v>
          </cell>
          <cell r="C1104">
            <v>1</v>
          </cell>
          <cell r="D1104" t="str">
            <v>kpg</v>
          </cell>
          <cell r="E1104">
            <v>6875</v>
          </cell>
          <cell r="G1104">
            <v>6875</v>
          </cell>
          <cell r="H1104">
            <v>7500</v>
          </cell>
          <cell r="I1104" t="str">
            <v>kpg</v>
          </cell>
          <cell r="J1104">
            <v>7400</v>
          </cell>
          <cell r="K1104" t="str">
            <v>kpg</v>
          </cell>
          <cell r="L1104">
            <v>7200</v>
          </cell>
          <cell r="M1104" t="str">
            <v>kpg</v>
          </cell>
          <cell r="W1104">
            <v>85200</v>
          </cell>
          <cell r="X1104" t="str">
            <v>kpg</v>
          </cell>
          <cell r="Y1104">
            <v>7100</v>
          </cell>
          <cell r="AA1104">
            <v>61000</v>
          </cell>
          <cell r="AB1104" t="str">
            <v>/ikat</v>
          </cell>
        </row>
        <row r="1105">
          <cell r="A1105" t="str">
            <v>PLASTIK7</v>
          </cell>
          <cell r="B1105" t="str">
            <v>Plastik Lontong no.7</v>
          </cell>
          <cell r="C1105">
            <v>5</v>
          </cell>
          <cell r="D1105" t="str">
            <v>pak</v>
          </cell>
          <cell r="E1105">
            <v>35000</v>
          </cell>
          <cell r="F1105">
            <v>84000</v>
          </cell>
          <cell r="G1105">
            <v>7000</v>
          </cell>
          <cell r="H1105">
            <v>8000</v>
          </cell>
          <cell r="I1105" t="str">
            <v>pak</v>
          </cell>
          <cell r="J1105">
            <v>8000</v>
          </cell>
          <cell r="K1105" t="str">
            <v>pak</v>
          </cell>
          <cell r="L1105">
            <v>8000</v>
          </cell>
          <cell r="M1105" t="str">
            <v>pak</v>
          </cell>
        </row>
        <row r="1106">
          <cell r="A1106" t="str">
            <v>PLASTIK11</v>
          </cell>
          <cell r="B1106" t="str">
            <v>Plastik No. 11</v>
          </cell>
          <cell r="C1106">
            <v>5</v>
          </cell>
          <cell r="D1106" t="str">
            <v>pak</v>
          </cell>
          <cell r="E1106">
            <v>30000</v>
          </cell>
          <cell r="G1106">
            <v>6000</v>
          </cell>
          <cell r="H1106">
            <v>7000</v>
          </cell>
          <cell r="I1106" t="str">
            <v>pak</v>
          </cell>
          <cell r="J1106">
            <v>7000</v>
          </cell>
          <cell r="K1106" t="str">
            <v>pak</v>
          </cell>
          <cell r="L1106">
            <v>7000</v>
          </cell>
          <cell r="M1106" t="str">
            <v>pak</v>
          </cell>
        </row>
        <row r="1107">
          <cell r="A1107" t="str">
            <v>PLASTIK13</v>
          </cell>
          <cell r="B1107" t="str">
            <v>Plastik No. 13</v>
          </cell>
          <cell r="C1107">
            <v>5</v>
          </cell>
          <cell r="D1107" t="str">
            <v>pak</v>
          </cell>
          <cell r="E1107">
            <v>45000</v>
          </cell>
          <cell r="F1107">
            <v>108000</v>
          </cell>
          <cell r="G1107">
            <v>9000</v>
          </cell>
          <cell r="H1107">
            <v>11000</v>
          </cell>
          <cell r="I1107" t="str">
            <v>pak</v>
          </cell>
          <cell r="J1107">
            <v>11000</v>
          </cell>
          <cell r="K1107" t="str">
            <v>pak</v>
          </cell>
          <cell r="L1107">
            <v>11000</v>
          </cell>
          <cell r="M1107" t="str">
            <v>pak</v>
          </cell>
        </row>
        <row r="1108">
          <cell r="A1108" t="str">
            <v>PLASTIK15</v>
          </cell>
          <cell r="B1108" t="str">
            <v>Plastik No. 15</v>
          </cell>
          <cell r="C1108">
            <v>10</v>
          </cell>
          <cell r="D1108" t="str">
            <v>pak</v>
          </cell>
          <cell r="E1108">
            <v>100000</v>
          </cell>
          <cell r="F1108">
            <v>120000</v>
          </cell>
          <cell r="G1108">
            <v>10000</v>
          </cell>
          <cell r="H1108">
            <v>12000</v>
          </cell>
          <cell r="I1108" t="str">
            <v>pak</v>
          </cell>
          <cell r="J1108">
            <v>12000</v>
          </cell>
          <cell r="K1108" t="str">
            <v>pak</v>
          </cell>
          <cell r="L1108">
            <v>12000</v>
          </cell>
          <cell r="M1108" t="str">
            <v>pak</v>
          </cell>
        </row>
        <row r="1109">
          <cell r="A1109" t="str">
            <v>PLASTIK9</v>
          </cell>
          <cell r="B1109" t="str">
            <v>Plastik No. 9 zebra</v>
          </cell>
          <cell r="C1109">
            <v>5</v>
          </cell>
          <cell r="D1109" t="str">
            <v>pak</v>
          </cell>
          <cell r="E1109">
            <v>25000</v>
          </cell>
          <cell r="F1109">
            <v>60000</v>
          </cell>
          <cell r="G1109">
            <v>5000</v>
          </cell>
          <cell r="H1109">
            <v>6500</v>
          </cell>
          <cell r="I1109" t="str">
            <v>pak</v>
          </cell>
          <cell r="J1109">
            <v>6500</v>
          </cell>
          <cell r="K1109" t="str">
            <v>pak</v>
          </cell>
          <cell r="L1109">
            <v>6500</v>
          </cell>
          <cell r="M1109" t="str">
            <v>pak</v>
          </cell>
        </row>
        <row r="1110">
          <cell r="A1110" t="str">
            <v>PLASTIKJET</v>
          </cell>
          <cell r="B1110" t="str">
            <v>Plastik Putih Jet</v>
          </cell>
          <cell r="C1110">
            <v>5</v>
          </cell>
          <cell r="D1110" t="str">
            <v>Ikt</v>
          </cell>
          <cell r="E1110">
            <v>17000</v>
          </cell>
          <cell r="F1110">
            <v>200000</v>
          </cell>
          <cell r="G1110">
            <v>3400</v>
          </cell>
          <cell r="H1110">
            <v>4500</v>
          </cell>
          <cell r="I1110" t="str">
            <v>kpg</v>
          </cell>
          <cell r="J1110">
            <v>4500</v>
          </cell>
          <cell r="K1110" t="str">
            <v>kpg</v>
          </cell>
          <cell r="L1110">
            <v>4500</v>
          </cell>
          <cell r="M1110" t="str">
            <v>kpg</v>
          </cell>
          <cell r="Q1110">
            <v>19000</v>
          </cell>
          <cell r="R1110">
            <v>5</v>
          </cell>
          <cell r="S1110" t="str">
            <v>/ikat</v>
          </cell>
        </row>
        <row r="1111">
          <cell r="A1111" t="str">
            <v>KANGURU</v>
          </cell>
          <cell r="B1111" t="str">
            <v>Plastik HITAM CAP KANGURU</v>
          </cell>
          <cell r="C1111">
            <v>10</v>
          </cell>
          <cell r="D1111" t="str">
            <v>Ikt</v>
          </cell>
          <cell r="E1111">
            <v>29000</v>
          </cell>
          <cell r="F1111">
            <v>870000</v>
          </cell>
          <cell r="G1111">
            <v>2900</v>
          </cell>
          <cell r="H1111">
            <v>5000</v>
          </cell>
          <cell r="I1111" t="str">
            <v>kpg</v>
          </cell>
          <cell r="J1111">
            <v>5000</v>
          </cell>
          <cell r="K1111" t="str">
            <v>kpg</v>
          </cell>
          <cell r="L1111">
            <v>4500</v>
          </cell>
          <cell r="M1111" t="str">
            <v>kpg</v>
          </cell>
          <cell r="Q1111">
            <v>32000</v>
          </cell>
          <cell r="R1111">
            <v>10</v>
          </cell>
          <cell r="S1111" t="str">
            <v>/ikat</v>
          </cell>
          <cell r="Y1111">
            <v>3200</v>
          </cell>
          <cell r="Z1111" t="str">
            <v>kpg</v>
          </cell>
        </row>
        <row r="1112">
          <cell r="A1112" t="str">
            <v>ZEBRA1</v>
          </cell>
          <cell r="B1112" t="str">
            <v>Plastik HITAM CAP ZEBRA 1 KG NO 15</v>
          </cell>
          <cell r="C1112">
            <v>5</v>
          </cell>
          <cell r="D1112" t="str">
            <v>Ikt</v>
          </cell>
          <cell r="E1112">
            <v>18000</v>
          </cell>
          <cell r="G1112">
            <v>3600</v>
          </cell>
          <cell r="H1112">
            <v>5000</v>
          </cell>
          <cell r="I1112" t="str">
            <v>kpg</v>
          </cell>
          <cell r="J1112">
            <v>5000</v>
          </cell>
          <cell r="K1112" t="str">
            <v>kpg</v>
          </cell>
          <cell r="L1112">
            <v>4500</v>
          </cell>
          <cell r="M1112" t="str">
            <v>kpg</v>
          </cell>
          <cell r="Q1112">
            <v>18000</v>
          </cell>
          <cell r="R1112">
            <v>10</v>
          </cell>
          <cell r="S1112" t="str">
            <v>/ikat</v>
          </cell>
        </row>
        <row r="1113">
          <cell r="A1113" t="str">
            <v>ZEBRA2</v>
          </cell>
          <cell r="B1113" t="str">
            <v>Plastik HITAM CAP ZEBRA 2 KG NO 24</v>
          </cell>
          <cell r="C1113">
            <v>5</v>
          </cell>
          <cell r="D1113" t="str">
            <v>Ikt</v>
          </cell>
          <cell r="E1113">
            <v>0</v>
          </cell>
          <cell r="G1113">
            <v>0</v>
          </cell>
          <cell r="H1113">
            <v>5000</v>
          </cell>
          <cell r="I1113" t="str">
            <v>kpg</v>
          </cell>
          <cell r="J1113">
            <v>4500</v>
          </cell>
          <cell r="K1113" t="str">
            <v>kpg</v>
          </cell>
          <cell r="L1113">
            <v>4000</v>
          </cell>
          <cell r="M1113" t="str">
            <v>kpg</v>
          </cell>
          <cell r="Q1113">
            <v>18000</v>
          </cell>
          <cell r="R1113">
            <v>10</v>
          </cell>
          <cell r="S1113" t="str">
            <v>/ikat</v>
          </cell>
        </row>
        <row r="1114">
          <cell r="A1114" t="str">
            <v>STRATA</v>
          </cell>
          <cell r="B1114" t="str">
            <v>Plastik HITAM CAP STRATA 2 KG NO 24</v>
          </cell>
          <cell r="C1114">
            <v>5</v>
          </cell>
          <cell r="D1114" t="str">
            <v>Ikt</v>
          </cell>
          <cell r="E1114">
            <v>31000</v>
          </cell>
          <cell r="G1114">
            <v>6200</v>
          </cell>
          <cell r="H1114">
            <v>7500</v>
          </cell>
          <cell r="I1114" t="str">
            <v>kpg</v>
          </cell>
          <cell r="J1114">
            <v>7500</v>
          </cell>
          <cell r="K1114" t="str">
            <v>kpg</v>
          </cell>
          <cell r="L1114">
            <v>7000</v>
          </cell>
          <cell r="M1114" t="str">
            <v>kpg</v>
          </cell>
          <cell r="Q1114">
            <v>34500</v>
          </cell>
          <cell r="R1114">
            <v>5</v>
          </cell>
          <cell r="S1114" t="str">
            <v>/ikat</v>
          </cell>
        </row>
        <row r="1115">
          <cell r="A1115" t="str">
            <v>PLASTIKPop</v>
          </cell>
          <cell r="B1115" t="str">
            <v>Plastk  Gelas Pop Putih</v>
          </cell>
          <cell r="C1115">
            <v>10</v>
          </cell>
          <cell r="D1115" t="str">
            <v>kpg</v>
          </cell>
          <cell r="E1115">
            <v>29500</v>
          </cell>
          <cell r="F1115">
            <v>737500</v>
          </cell>
          <cell r="G1115">
            <v>2950</v>
          </cell>
          <cell r="H1115">
            <v>5000</v>
          </cell>
          <cell r="I1115" t="str">
            <v>kpg</v>
          </cell>
          <cell r="J1115">
            <v>5000</v>
          </cell>
          <cell r="K1115" t="str">
            <v>kpg</v>
          </cell>
          <cell r="L1115">
            <v>5000</v>
          </cell>
          <cell r="M1115" t="str">
            <v>kpg</v>
          </cell>
          <cell r="Q1115">
            <v>35000</v>
          </cell>
          <cell r="R1115">
            <v>10</v>
          </cell>
          <cell r="S1115" t="str">
            <v>/ikat</v>
          </cell>
          <cell r="W1115">
            <v>3100</v>
          </cell>
          <cell r="X1115" t="str">
            <v>kpg</v>
          </cell>
          <cell r="Y1115">
            <v>3500</v>
          </cell>
          <cell r="Z1115" t="str">
            <v>kpg</v>
          </cell>
        </row>
        <row r="1116">
          <cell r="A1116" t="str">
            <v>PLASTIKPW</v>
          </cell>
          <cell r="B1116" t="str">
            <v>Plastik Gelas Pop Warna</v>
          </cell>
          <cell r="C1116">
            <v>10</v>
          </cell>
          <cell r="D1116" t="str">
            <v>kpg</v>
          </cell>
          <cell r="E1116">
            <v>25000</v>
          </cell>
          <cell r="G1116">
            <v>2500</v>
          </cell>
          <cell r="H1116">
            <v>3500</v>
          </cell>
          <cell r="I1116" t="str">
            <v>kpg</v>
          </cell>
          <cell r="J1116">
            <v>3500</v>
          </cell>
          <cell r="K1116" t="str">
            <v>kpg</v>
          </cell>
          <cell r="L1116">
            <v>3500</v>
          </cell>
          <cell r="M1116" t="str">
            <v>kpg</v>
          </cell>
          <cell r="Q1116">
            <v>27000</v>
          </cell>
          <cell r="R1116">
            <v>10</v>
          </cell>
          <cell r="S1116" t="str">
            <v>/ikat</v>
          </cell>
          <cell r="W1116">
            <v>3000</v>
          </cell>
          <cell r="X1116" t="str">
            <v>kpg</v>
          </cell>
          <cell r="Y1116">
            <v>2700</v>
          </cell>
          <cell r="Z1116" t="str">
            <v>kpg</v>
          </cell>
          <cell r="AA1116">
            <v>27000</v>
          </cell>
          <cell r="AB1116" t="str">
            <v>/ikat</v>
          </cell>
        </row>
        <row r="1117">
          <cell r="A1117" t="str">
            <v>sedotan</v>
          </cell>
          <cell r="B1117" t="str">
            <v>Plastik Sedotan BINTANG</v>
          </cell>
          <cell r="C1117">
            <v>5</v>
          </cell>
          <cell r="D1117" t="str">
            <v>pak</v>
          </cell>
          <cell r="E1117">
            <v>16666.666666666668</v>
          </cell>
          <cell r="F1117">
            <v>300000</v>
          </cell>
          <cell r="G1117">
            <v>3333.3333333333335</v>
          </cell>
          <cell r="H1117">
            <v>5000</v>
          </cell>
          <cell r="I1117" t="str">
            <v>pak</v>
          </cell>
          <cell r="J1117">
            <v>4500</v>
          </cell>
          <cell r="K1117" t="str">
            <v>pak</v>
          </cell>
          <cell r="L1117">
            <v>4500</v>
          </cell>
          <cell r="M1117" t="str">
            <v>pak</v>
          </cell>
          <cell r="Q1117">
            <v>19000</v>
          </cell>
          <cell r="R1117">
            <v>5</v>
          </cell>
          <cell r="S1117" t="str">
            <v>/ikat</v>
          </cell>
        </row>
        <row r="1118">
          <cell r="A1118" t="str">
            <v>CENDOLK</v>
          </cell>
          <cell r="B1118" t="str">
            <v>Plastik Sedotan Cendol PAK KECIL</v>
          </cell>
          <cell r="C1118">
            <v>53</v>
          </cell>
          <cell r="D1118" t="str">
            <v>pak</v>
          </cell>
          <cell r="E1118">
            <v>345800</v>
          </cell>
          <cell r="G1118">
            <v>6524.5283018867922</v>
          </cell>
          <cell r="H1118">
            <v>7500</v>
          </cell>
          <cell r="I1118" t="str">
            <v>pak</v>
          </cell>
          <cell r="J1118">
            <v>7500</v>
          </cell>
          <cell r="K1118" t="str">
            <v>pak</v>
          </cell>
        </row>
        <row r="1119">
          <cell r="A1119" t="str">
            <v>CENDOLB</v>
          </cell>
          <cell r="B1119" t="str">
            <v>Plastik Sedotan Cendol PAK BESAR</v>
          </cell>
          <cell r="C1119">
            <v>53</v>
          </cell>
          <cell r="D1119" t="str">
            <v>pak</v>
          </cell>
          <cell r="E1119">
            <v>345800</v>
          </cell>
          <cell r="G1119">
            <v>6524.5283018867922</v>
          </cell>
          <cell r="H1119">
            <v>8500</v>
          </cell>
          <cell r="I1119" t="str">
            <v>pak</v>
          </cell>
          <cell r="J1119">
            <v>8500</v>
          </cell>
          <cell r="K1119" t="str">
            <v>pak</v>
          </cell>
          <cell r="L1119">
            <v>8500</v>
          </cell>
          <cell r="M1119" t="str">
            <v>pak</v>
          </cell>
        </row>
        <row r="1120">
          <cell r="A1120" t="str">
            <v>SBUAYA</v>
          </cell>
          <cell r="B1120" t="str">
            <v>Plastik Sedotan PUTIH BENGKOK</v>
          </cell>
          <cell r="C1120">
            <v>6</v>
          </cell>
          <cell r="D1120" t="str">
            <v>pak</v>
          </cell>
          <cell r="E1120">
            <v>51000</v>
          </cell>
          <cell r="G1120">
            <v>8500</v>
          </cell>
          <cell r="H1120">
            <v>9500</v>
          </cell>
          <cell r="I1120" t="str">
            <v>pak</v>
          </cell>
          <cell r="J1120">
            <v>9500</v>
          </cell>
          <cell r="K1120" t="str">
            <v>pak</v>
          </cell>
          <cell r="L1120">
            <v>9000</v>
          </cell>
          <cell r="M1120" t="str">
            <v>pak</v>
          </cell>
        </row>
        <row r="1121">
          <cell r="A1121" t="str">
            <v>WARNA</v>
          </cell>
          <cell r="B1121" t="str">
            <v>Plastik Warna</v>
          </cell>
          <cell r="C1121">
            <v>10</v>
          </cell>
          <cell r="D1121" t="str">
            <v>pak</v>
          </cell>
          <cell r="E1121">
            <v>2500</v>
          </cell>
          <cell r="G1121">
            <v>250</v>
          </cell>
        </row>
        <row r="1122">
          <cell r="A1122" t="str">
            <v>HANSA</v>
          </cell>
          <cell r="B1122" t="str">
            <v>Plester Hansaplast K 100</v>
          </cell>
          <cell r="C1122">
            <v>100</v>
          </cell>
          <cell r="D1122" t="str">
            <v>ktk</v>
          </cell>
          <cell r="E1122">
            <v>28000</v>
          </cell>
          <cell r="F1122">
            <v>115000</v>
          </cell>
          <cell r="G1122">
            <v>280</v>
          </cell>
          <cell r="Q1122">
            <v>30000</v>
          </cell>
          <cell r="S1122" t="str">
            <v>pak</v>
          </cell>
        </row>
        <row r="1123">
          <cell r="A1123" t="str">
            <v>POLYTEX</v>
          </cell>
          <cell r="B1123" t="str">
            <v>POLITEX Kawat Cuci Piring</v>
          </cell>
          <cell r="C1123">
            <v>12</v>
          </cell>
          <cell r="D1123" t="str">
            <v>pcs</v>
          </cell>
          <cell r="E1123">
            <v>19000</v>
          </cell>
          <cell r="G1123">
            <v>1583.3333333333333</v>
          </cell>
          <cell r="H1123">
            <v>2000</v>
          </cell>
          <cell r="I1123" t="str">
            <v>pc</v>
          </cell>
          <cell r="J1123">
            <v>1900</v>
          </cell>
          <cell r="K1123" t="str">
            <v>pc</v>
          </cell>
          <cell r="L1123">
            <v>1800</v>
          </cell>
          <cell r="M1123" t="str">
            <v>pc</v>
          </cell>
          <cell r="Q1123">
            <v>21000</v>
          </cell>
          <cell r="R1123">
            <v>12</v>
          </cell>
          <cell r="S1123" t="str">
            <v>pak</v>
          </cell>
          <cell r="W1123">
            <v>1700</v>
          </cell>
          <cell r="X1123" t="str">
            <v>pc</v>
          </cell>
          <cell r="Y1123">
            <v>1750</v>
          </cell>
          <cell r="Z1123" t="str">
            <v>pc</v>
          </cell>
        </row>
        <row r="1124">
          <cell r="A1124" t="str">
            <v>VINTEN100</v>
          </cell>
          <cell r="B1124" t="str">
            <v>VASELIN INTENESIF CARE 100 GR</v>
          </cell>
          <cell r="C1124">
            <v>36</v>
          </cell>
          <cell r="D1124" t="str">
            <v>pcs</v>
          </cell>
          <cell r="E1124">
            <v>583200</v>
          </cell>
          <cell r="G1124">
            <v>16200</v>
          </cell>
          <cell r="H1124">
            <v>18500</v>
          </cell>
          <cell r="I1124" t="str">
            <v>pc</v>
          </cell>
          <cell r="J1124">
            <v>18000</v>
          </cell>
          <cell r="K1124" t="str">
            <v>pc</v>
          </cell>
        </row>
        <row r="1125">
          <cell r="A1125" t="str">
            <v>VLIGHT200</v>
          </cell>
          <cell r="B1125" t="str">
            <v>VASELIN UV LIGHTING 200 GR</v>
          </cell>
          <cell r="C1125">
            <v>18</v>
          </cell>
          <cell r="D1125" t="str">
            <v>pcs</v>
          </cell>
          <cell r="E1125">
            <v>381600</v>
          </cell>
          <cell r="G1125">
            <v>21200</v>
          </cell>
          <cell r="H1125">
            <v>24000</v>
          </cell>
          <cell r="I1125" t="str">
            <v>pc</v>
          </cell>
          <cell r="J1125">
            <v>24000</v>
          </cell>
          <cell r="K1125" t="str">
            <v>pc</v>
          </cell>
          <cell r="L1125">
            <v>23500</v>
          </cell>
        </row>
        <row r="1126">
          <cell r="A1126" t="str">
            <v>PCREAMR</v>
          </cell>
          <cell r="B1126" t="str">
            <v>Ponds Cream Renteng</v>
          </cell>
          <cell r="C1126">
            <v>12</v>
          </cell>
          <cell r="D1126" t="str">
            <v>rtg</v>
          </cell>
          <cell r="E1126">
            <v>42000</v>
          </cell>
          <cell r="F1126">
            <v>576000</v>
          </cell>
          <cell r="G1126">
            <v>3500</v>
          </cell>
          <cell r="H1126">
            <v>5000</v>
          </cell>
          <cell r="I1126" t="str">
            <v>pc</v>
          </cell>
          <cell r="J1126">
            <v>4500</v>
          </cell>
          <cell r="K1126" t="str">
            <v>pc</v>
          </cell>
          <cell r="L1126">
            <v>3900</v>
          </cell>
          <cell r="M1126" t="str">
            <v>pc</v>
          </cell>
          <cell r="N1126">
            <v>45000</v>
          </cell>
          <cell r="P1126" t="str">
            <v>rtg</v>
          </cell>
          <cell r="W1126">
            <v>3700</v>
          </cell>
          <cell r="X1126" t="str">
            <v>pc</v>
          </cell>
          <cell r="Y1126">
            <v>3750</v>
          </cell>
          <cell r="Z1126" t="str">
            <v>pc</v>
          </cell>
          <cell r="AA1126">
            <v>508000</v>
          </cell>
          <cell r="AB1126" t="str">
            <v>dos</v>
          </cell>
        </row>
        <row r="1127">
          <cell r="A1127" t="str">
            <v>PCREAM50S</v>
          </cell>
          <cell r="B1127" t="str">
            <v>Ponds Cream  50 K SIANG/PAGI</v>
          </cell>
          <cell r="C1127">
            <v>12</v>
          </cell>
          <cell r="D1127" t="str">
            <v>pcs</v>
          </cell>
          <cell r="E1127">
            <v>666000</v>
          </cell>
          <cell r="G1127">
            <v>55500</v>
          </cell>
          <cell r="H1127">
            <v>60000</v>
          </cell>
          <cell r="I1127" t="str">
            <v>pc</v>
          </cell>
        </row>
        <row r="1128">
          <cell r="A1128" t="str">
            <v>PCREAM50M</v>
          </cell>
          <cell r="B1128" t="str">
            <v>Ponds Cream  50 K MALAM</v>
          </cell>
          <cell r="C1128">
            <v>12</v>
          </cell>
          <cell r="D1128" t="str">
            <v>pcs</v>
          </cell>
          <cell r="E1128">
            <v>998400</v>
          </cell>
          <cell r="G1128">
            <v>83200</v>
          </cell>
          <cell r="H1128">
            <v>87000</v>
          </cell>
          <cell r="I1128" t="str">
            <v>pc</v>
          </cell>
        </row>
        <row r="1129">
          <cell r="A1129" t="str">
            <v>PFW10S</v>
          </cell>
          <cell r="B1129" t="str">
            <v>Ponds Cream FLAWLES 10 GR SIANG</v>
          </cell>
          <cell r="C1129">
            <v>36</v>
          </cell>
          <cell r="D1129" t="str">
            <v>pcs</v>
          </cell>
          <cell r="E1129">
            <v>687600</v>
          </cell>
          <cell r="G1129">
            <v>19100</v>
          </cell>
          <cell r="H1129">
            <v>22000</v>
          </cell>
          <cell r="I1129" t="str">
            <v>pc</v>
          </cell>
          <cell r="J1129">
            <v>21500</v>
          </cell>
          <cell r="K1129" t="str">
            <v>pc</v>
          </cell>
        </row>
        <row r="1130">
          <cell r="A1130" t="str">
            <v>PFW10M</v>
          </cell>
          <cell r="B1130" t="str">
            <v>Ponds Cream FLAWLES 10 GR MALAM</v>
          </cell>
          <cell r="C1130">
            <v>36</v>
          </cell>
          <cell r="D1130" t="str">
            <v>pcs</v>
          </cell>
          <cell r="E1130">
            <v>662400</v>
          </cell>
          <cell r="G1130">
            <v>18400</v>
          </cell>
          <cell r="H1130">
            <v>21000</v>
          </cell>
          <cell r="I1130" t="str">
            <v>pc</v>
          </cell>
          <cell r="J1130">
            <v>21000</v>
          </cell>
          <cell r="K1130" t="str">
            <v>pc</v>
          </cell>
        </row>
        <row r="1131">
          <cell r="A1131" t="str">
            <v>PAGE10M</v>
          </cell>
          <cell r="B1131" t="str">
            <v>Ponds Cream AGE MIRACLE 10 GR MALAM</v>
          </cell>
          <cell r="C1131">
            <v>36</v>
          </cell>
          <cell r="D1131" t="str">
            <v>pcs</v>
          </cell>
          <cell r="E1131">
            <v>959400</v>
          </cell>
          <cell r="G1131">
            <v>26650</v>
          </cell>
          <cell r="H1131">
            <v>29500</v>
          </cell>
          <cell r="I1131" t="str">
            <v>pc</v>
          </cell>
          <cell r="J1131">
            <v>29000</v>
          </cell>
          <cell r="K1131" t="str">
            <v>pc</v>
          </cell>
        </row>
        <row r="1132">
          <cell r="A1132" t="str">
            <v>PAGE10S</v>
          </cell>
          <cell r="B1132" t="str">
            <v>Ponds Cream AGE MIRACLE 10 GR SIANG</v>
          </cell>
          <cell r="C1132">
            <v>36</v>
          </cell>
          <cell r="D1132" t="str">
            <v>pcs</v>
          </cell>
          <cell r="E1132">
            <v>837000</v>
          </cell>
          <cell r="G1132">
            <v>23250</v>
          </cell>
          <cell r="H1132">
            <v>27500</v>
          </cell>
          <cell r="I1132" t="str">
            <v>pc</v>
          </cell>
          <cell r="J1132">
            <v>27000</v>
          </cell>
          <cell r="K1132" t="str">
            <v>pc</v>
          </cell>
        </row>
        <row r="1133">
          <cell r="A1133" t="str">
            <v>PCREAM20</v>
          </cell>
          <cell r="B1133" t="str">
            <v xml:space="preserve">Ponds Cream 20 K </v>
          </cell>
          <cell r="C1133">
            <v>48</v>
          </cell>
          <cell r="D1133" t="str">
            <v>pcs</v>
          </cell>
          <cell r="E1133">
            <v>796800</v>
          </cell>
          <cell r="F1133">
            <v>199200</v>
          </cell>
          <cell r="G1133">
            <v>16600</v>
          </cell>
          <cell r="H1133">
            <v>18500</v>
          </cell>
          <cell r="I1133" t="str">
            <v>pc</v>
          </cell>
          <cell r="J1133">
            <v>18000</v>
          </cell>
          <cell r="K1133" t="str">
            <v>pc</v>
          </cell>
          <cell r="L1133">
            <v>17500</v>
          </cell>
          <cell r="M1133" t="str">
            <v>pc</v>
          </cell>
        </row>
        <row r="1134">
          <cell r="A1134" t="str">
            <v>PCREAM40</v>
          </cell>
          <cell r="B1134" t="str">
            <v>Ponds Cream 40 B</v>
          </cell>
          <cell r="C1134">
            <v>24</v>
          </cell>
          <cell r="D1134" t="str">
            <v>pcs</v>
          </cell>
          <cell r="E1134">
            <v>722400</v>
          </cell>
          <cell r="F1134">
            <v>361200</v>
          </cell>
          <cell r="G1134">
            <v>30100</v>
          </cell>
          <cell r="H1134">
            <v>33000</v>
          </cell>
          <cell r="I1134" t="str">
            <v>pc</v>
          </cell>
          <cell r="J1134">
            <v>32500</v>
          </cell>
          <cell r="K1134" t="str">
            <v>pc</v>
          </cell>
          <cell r="L1134">
            <v>32000</v>
          </cell>
          <cell r="M1134" t="str">
            <v>pc</v>
          </cell>
        </row>
        <row r="1135">
          <cell r="A1135" t="str">
            <v>FCREAM20</v>
          </cell>
          <cell r="B1135" t="str">
            <v>Ponds Fair Love POWDER CREAM 20 GR</v>
          </cell>
          <cell r="C1135">
            <v>48</v>
          </cell>
          <cell r="D1135" t="str">
            <v>pcs</v>
          </cell>
          <cell r="E1135">
            <v>768000</v>
          </cell>
          <cell r="G1135">
            <v>16000</v>
          </cell>
          <cell r="H1135">
            <v>18500</v>
          </cell>
          <cell r="I1135" t="str">
            <v>pc</v>
          </cell>
          <cell r="J1135">
            <v>18500</v>
          </cell>
          <cell r="K1135" t="str">
            <v>pc</v>
          </cell>
          <cell r="L1135">
            <v>18000</v>
          </cell>
          <cell r="M1135" t="str">
            <v>pcs</v>
          </cell>
        </row>
        <row r="1136">
          <cell r="A1136" t="str">
            <v>FCREAM40</v>
          </cell>
          <cell r="B1136" t="str">
            <v>Ponds Fair Love POWDER CREAM 40 GR</v>
          </cell>
          <cell r="C1136">
            <v>24</v>
          </cell>
          <cell r="D1136" t="str">
            <v>pcs</v>
          </cell>
          <cell r="E1136">
            <v>705601</v>
          </cell>
          <cell r="G1136">
            <v>29400.041666666668</v>
          </cell>
          <cell r="H1136">
            <v>33000</v>
          </cell>
          <cell r="I1136" t="str">
            <v>pc</v>
          </cell>
          <cell r="J1136">
            <v>33000</v>
          </cell>
          <cell r="K1136" t="str">
            <v>pc</v>
          </cell>
          <cell r="L1136">
            <v>32500</v>
          </cell>
          <cell r="M1136" t="str">
            <v>pcs</v>
          </cell>
        </row>
        <row r="1137">
          <cell r="A1137" t="str">
            <v>FCREAM25</v>
          </cell>
          <cell r="B1137" t="str">
            <v>Ponds Fair Love CREAM 25 GR</v>
          </cell>
          <cell r="C1137">
            <v>48</v>
          </cell>
          <cell r="D1137" t="str">
            <v>pcs</v>
          </cell>
          <cell r="E1137">
            <v>684000</v>
          </cell>
          <cell r="G1137">
            <v>14250</v>
          </cell>
          <cell r="H1137">
            <v>17500</v>
          </cell>
          <cell r="I1137" t="str">
            <v>pc</v>
          </cell>
          <cell r="J1137">
            <v>17500</v>
          </cell>
          <cell r="K1137" t="str">
            <v>pc</v>
          </cell>
          <cell r="L1137">
            <v>16500</v>
          </cell>
          <cell r="M1137" t="str">
            <v>pcs</v>
          </cell>
        </row>
        <row r="1138">
          <cell r="A1138" t="str">
            <v>FCREAM50</v>
          </cell>
          <cell r="B1138" t="str">
            <v>Ponds Fair Love CREAM 50 GR</v>
          </cell>
          <cell r="C1138">
            <v>24</v>
          </cell>
          <cell r="D1138" t="str">
            <v>pcs</v>
          </cell>
          <cell r="E1138">
            <v>550800</v>
          </cell>
          <cell r="F1138">
            <v>275400</v>
          </cell>
          <cell r="G1138">
            <v>22950</v>
          </cell>
          <cell r="H1138">
            <v>25000</v>
          </cell>
          <cell r="I1138" t="str">
            <v>pc</v>
          </cell>
          <cell r="J1138">
            <v>25000</v>
          </cell>
          <cell r="K1138" t="str">
            <v>pc</v>
          </cell>
          <cell r="L1138">
            <v>24500</v>
          </cell>
          <cell r="M1138" t="str">
            <v>pcs</v>
          </cell>
        </row>
        <row r="1139">
          <cell r="A1139" t="str">
            <v>FSABUN100</v>
          </cell>
          <cell r="B1139" t="str">
            <v>Ponds Fair Love Sabun 100 GR</v>
          </cell>
          <cell r="C1139">
            <v>24</v>
          </cell>
          <cell r="D1139" t="str">
            <v>pcs</v>
          </cell>
          <cell r="E1139">
            <v>435600</v>
          </cell>
          <cell r="F1139">
            <v>217800</v>
          </cell>
          <cell r="G1139">
            <v>18150</v>
          </cell>
          <cell r="H1139">
            <v>20000</v>
          </cell>
          <cell r="I1139" t="str">
            <v>pc</v>
          </cell>
          <cell r="J1139">
            <v>25000</v>
          </cell>
          <cell r="K1139" t="str">
            <v>pc</v>
          </cell>
          <cell r="L1139">
            <v>24500</v>
          </cell>
          <cell r="M1139" t="str">
            <v>pcs</v>
          </cell>
        </row>
        <row r="1140">
          <cell r="A1140" t="str">
            <v>FSABUN50</v>
          </cell>
          <cell r="B1140" t="str">
            <v>Ponds Fair Love Sabun 50 GR</v>
          </cell>
          <cell r="C1140">
            <v>24</v>
          </cell>
          <cell r="D1140" t="str">
            <v>pcs</v>
          </cell>
          <cell r="E1140">
            <v>266400</v>
          </cell>
          <cell r="F1140">
            <v>133200</v>
          </cell>
          <cell r="G1140">
            <v>11100</v>
          </cell>
          <cell r="H1140">
            <v>14000</v>
          </cell>
          <cell r="I1140" t="str">
            <v>pc</v>
          </cell>
          <cell r="J1140">
            <v>13500</v>
          </cell>
          <cell r="K1140" t="str">
            <v>pc</v>
          </cell>
          <cell r="L1140">
            <v>13000</v>
          </cell>
          <cell r="M1140" t="str">
            <v>pcs</v>
          </cell>
        </row>
        <row r="1141">
          <cell r="A1141" t="str">
            <v>FAIRR</v>
          </cell>
          <cell r="B1141" t="str">
            <v>Ponds Fair Love Rtg</v>
          </cell>
          <cell r="C1141">
            <v>12</v>
          </cell>
          <cell r="D1141" t="str">
            <v>pcs</v>
          </cell>
          <cell r="E1141">
            <v>37200</v>
          </cell>
          <cell r="F1141">
            <v>446400</v>
          </cell>
          <cell r="G1141">
            <v>3100</v>
          </cell>
          <cell r="H1141">
            <v>4500</v>
          </cell>
          <cell r="I1141" t="str">
            <v>pc</v>
          </cell>
          <cell r="J1141">
            <v>4500</v>
          </cell>
          <cell r="K1141" t="str">
            <v>pc</v>
          </cell>
          <cell r="L1141">
            <v>3700</v>
          </cell>
          <cell r="M1141" t="str">
            <v>pc</v>
          </cell>
          <cell r="N1141">
            <v>40000</v>
          </cell>
          <cell r="O1141">
            <v>12</v>
          </cell>
          <cell r="P1141" t="str">
            <v>rtg</v>
          </cell>
          <cell r="W1141">
            <v>3300</v>
          </cell>
          <cell r="X1141" t="str">
            <v>pc</v>
          </cell>
          <cell r="Y1141">
            <v>3400</v>
          </cell>
          <cell r="Z1141" t="str">
            <v>pc</v>
          </cell>
        </row>
        <row r="1142">
          <cell r="A1142" t="str">
            <v>BB</v>
          </cell>
          <cell r="B1142" t="str">
            <v>Ponds Flawles BB +</v>
          </cell>
          <cell r="C1142">
            <v>3</v>
          </cell>
          <cell r="D1142" t="str">
            <v>pcs</v>
          </cell>
          <cell r="E1142">
            <v>166800</v>
          </cell>
          <cell r="F1142">
            <v>667200</v>
          </cell>
          <cell r="G1142">
            <v>55600</v>
          </cell>
          <cell r="H1142">
            <v>59000</v>
          </cell>
          <cell r="I1142" t="str">
            <v>pc</v>
          </cell>
          <cell r="J1142">
            <v>59000</v>
          </cell>
          <cell r="K1142" t="str">
            <v>pc</v>
          </cell>
          <cell r="L1142">
            <v>59000</v>
          </cell>
          <cell r="M1142" t="str">
            <v>pc</v>
          </cell>
        </row>
        <row r="1143">
          <cell r="A1143" t="str">
            <v>FLAWC25</v>
          </cell>
          <cell r="B1143" t="str">
            <v xml:space="preserve">Ponds Flawless White Cream 25 gr </v>
          </cell>
          <cell r="C1143">
            <v>3</v>
          </cell>
          <cell r="D1143" t="str">
            <v>pcs</v>
          </cell>
          <cell r="E1143">
            <v>99000</v>
          </cell>
          <cell r="F1143">
            <v>396000</v>
          </cell>
          <cell r="G1143">
            <v>33000</v>
          </cell>
          <cell r="H1143">
            <v>1850</v>
          </cell>
        </row>
        <row r="1144">
          <cell r="A1144" t="str">
            <v>FLAWS100</v>
          </cell>
          <cell r="B1144" t="str">
            <v>Ponds Flawless White Sabun 100 B</v>
          </cell>
          <cell r="C1144">
            <v>12</v>
          </cell>
          <cell r="D1144" t="str">
            <v>ktk</v>
          </cell>
          <cell r="E1144">
            <v>315600</v>
          </cell>
          <cell r="G1144">
            <v>26300</v>
          </cell>
        </row>
        <row r="1145">
          <cell r="A1145" t="str">
            <v>PGEL100</v>
          </cell>
          <cell r="B1145" t="str">
            <v>Ponds Gel Sabun 100 ML</v>
          </cell>
          <cell r="C1145">
            <v>12</v>
          </cell>
          <cell r="D1145" t="str">
            <v>pcs</v>
          </cell>
          <cell r="E1145">
            <v>240000</v>
          </cell>
          <cell r="G1145">
            <v>20000</v>
          </cell>
          <cell r="H1145">
            <v>22000</v>
          </cell>
          <cell r="I1145" t="str">
            <v>pc</v>
          </cell>
          <cell r="J1145">
            <v>22000</v>
          </cell>
          <cell r="K1145" t="str">
            <v>pc</v>
          </cell>
          <cell r="L1145">
            <v>21500</v>
          </cell>
          <cell r="M1145" t="str">
            <v>pc</v>
          </cell>
          <cell r="W1145">
            <v>21000</v>
          </cell>
          <cell r="X1145" t="str">
            <v>pc</v>
          </cell>
          <cell r="Y1145">
            <v>21500</v>
          </cell>
          <cell r="Z1145" t="str">
            <v>pc</v>
          </cell>
        </row>
        <row r="1146">
          <cell r="A1146" t="str">
            <v>PGEL50</v>
          </cell>
          <cell r="B1146" t="str">
            <v>Ponds Gel Sabun 50 ML</v>
          </cell>
          <cell r="C1146">
            <v>6</v>
          </cell>
          <cell r="D1146" t="str">
            <v>pcs</v>
          </cell>
          <cell r="E1146">
            <v>72000</v>
          </cell>
          <cell r="G1146">
            <v>12000</v>
          </cell>
          <cell r="H1146">
            <v>14000</v>
          </cell>
          <cell r="I1146" t="str">
            <v>pc</v>
          </cell>
          <cell r="J1146">
            <v>14000</v>
          </cell>
          <cell r="K1146" t="str">
            <v>pc</v>
          </cell>
          <cell r="L1146">
            <v>13500</v>
          </cell>
          <cell r="M1146" t="str">
            <v>pc</v>
          </cell>
          <cell r="W1146">
            <v>13500</v>
          </cell>
          <cell r="X1146" t="str">
            <v>pc</v>
          </cell>
        </row>
        <row r="1147">
          <cell r="A1147" t="str">
            <v>PMEN100</v>
          </cell>
          <cell r="B1147" t="str">
            <v>Ponds Men Sabun 100 ML</v>
          </cell>
          <cell r="C1147">
            <v>6</v>
          </cell>
          <cell r="D1147" t="str">
            <v>pcs</v>
          </cell>
          <cell r="E1147">
            <v>127195.2</v>
          </cell>
          <cell r="G1147">
            <v>21199.200000000001</v>
          </cell>
          <cell r="H1147">
            <v>23000</v>
          </cell>
          <cell r="I1147" t="str">
            <v>pc</v>
          </cell>
          <cell r="J1147">
            <v>23000</v>
          </cell>
          <cell r="K1147" t="str">
            <v>pc</v>
          </cell>
          <cell r="L1147">
            <v>22500</v>
          </cell>
          <cell r="M1147" t="str">
            <v>pc</v>
          </cell>
        </row>
        <row r="1148">
          <cell r="A1148" t="str">
            <v>MILK150</v>
          </cell>
          <cell r="B1148" t="str">
            <v>Ponds Pembersih cair Milk 150 ml</v>
          </cell>
          <cell r="C1148">
            <v>12</v>
          </cell>
          <cell r="D1148" t="str">
            <v>btl</v>
          </cell>
          <cell r="E1148">
            <v>158400</v>
          </cell>
          <cell r="F1148">
            <v>39600</v>
          </cell>
          <cell r="G1148">
            <v>13200</v>
          </cell>
          <cell r="H1148">
            <v>15000</v>
          </cell>
          <cell r="I1148" t="str">
            <v>pc</v>
          </cell>
          <cell r="J1148">
            <v>15000</v>
          </cell>
          <cell r="K1148" t="str">
            <v>pc</v>
          </cell>
          <cell r="L1148">
            <v>15000</v>
          </cell>
          <cell r="M1148" t="str">
            <v>pc</v>
          </cell>
        </row>
        <row r="1149">
          <cell r="A1149" t="str">
            <v>PSABUN100</v>
          </cell>
          <cell r="B1149" t="str">
            <v>Ponds Sabun 100 gr</v>
          </cell>
          <cell r="C1149">
            <v>24</v>
          </cell>
          <cell r="D1149" t="str">
            <v>pcs</v>
          </cell>
          <cell r="E1149">
            <v>560401</v>
          </cell>
          <cell r="F1149">
            <v>280200.5</v>
          </cell>
          <cell r="G1149">
            <v>23350.041666666668</v>
          </cell>
          <cell r="H1149">
            <v>27000</v>
          </cell>
          <cell r="I1149" t="str">
            <v>pc</v>
          </cell>
          <cell r="J1149">
            <v>26500</v>
          </cell>
          <cell r="K1149" t="str">
            <v>pc</v>
          </cell>
          <cell r="L1149">
            <v>26000</v>
          </cell>
          <cell r="M1149" t="str">
            <v>pc</v>
          </cell>
        </row>
        <row r="1150">
          <cell r="A1150" t="str">
            <v>PSABUN20</v>
          </cell>
          <cell r="B1150" t="str">
            <v>Ponds Sabun 20 gr</v>
          </cell>
          <cell r="C1150">
            <v>12</v>
          </cell>
          <cell r="D1150" t="str">
            <v>pcs</v>
          </cell>
          <cell r="E1150">
            <v>60600</v>
          </cell>
          <cell r="G1150">
            <v>5050</v>
          </cell>
        </row>
        <row r="1151">
          <cell r="A1151" t="str">
            <v>PSABUN50</v>
          </cell>
          <cell r="B1151" t="str">
            <v>Ponds Sabun 50 gr</v>
          </cell>
          <cell r="C1151">
            <v>24</v>
          </cell>
          <cell r="D1151" t="str">
            <v>pcs</v>
          </cell>
          <cell r="E1151">
            <v>391200</v>
          </cell>
          <cell r="F1151">
            <v>195600</v>
          </cell>
          <cell r="G1151">
            <v>16300</v>
          </cell>
          <cell r="H1151">
            <v>18500</v>
          </cell>
          <cell r="I1151" t="str">
            <v>pc</v>
          </cell>
          <cell r="J1151">
            <v>18000</v>
          </cell>
          <cell r="K1151" t="str">
            <v>pc</v>
          </cell>
        </row>
        <row r="1152">
          <cell r="A1152" t="str">
            <v>pSHAKE100</v>
          </cell>
          <cell r="B1152" t="str">
            <v>Ponds Shake 100 ml</v>
          </cell>
          <cell r="C1152">
            <v>3</v>
          </cell>
          <cell r="D1152" t="str">
            <v>pcs</v>
          </cell>
          <cell r="E1152">
            <v>46200</v>
          </cell>
          <cell r="F1152">
            <v>79200</v>
          </cell>
          <cell r="G1152">
            <v>15400</v>
          </cell>
          <cell r="H1152">
            <v>16500</v>
          </cell>
          <cell r="I1152" t="str">
            <v>btl</v>
          </cell>
          <cell r="J1152">
            <v>16000</v>
          </cell>
          <cell r="K1152" t="str">
            <v>btl</v>
          </cell>
          <cell r="L1152">
            <v>16000</v>
          </cell>
          <cell r="M1152" t="str">
            <v>btl</v>
          </cell>
          <cell r="W1152">
            <v>15900</v>
          </cell>
          <cell r="X1152" t="str">
            <v>btl</v>
          </cell>
          <cell r="Y1152">
            <v>16000</v>
          </cell>
          <cell r="Z1152" t="str">
            <v>btl</v>
          </cell>
        </row>
        <row r="1153">
          <cell r="A1153" t="str">
            <v>PWipes7</v>
          </cell>
          <cell r="B1153" t="str">
            <v>Ponds Wipes 7 pc</v>
          </cell>
          <cell r="C1153">
            <v>3</v>
          </cell>
          <cell r="D1153" t="str">
            <v>pcs</v>
          </cell>
          <cell r="E1153">
            <v>33597.300000000003</v>
          </cell>
          <cell r="G1153">
            <v>11199.1</v>
          </cell>
        </row>
        <row r="1154">
          <cell r="A1154" t="str">
            <v>POPABC</v>
          </cell>
          <cell r="B1154" t="str">
            <v>Pop Mi ABC Cup</v>
          </cell>
          <cell r="C1154">
            <v>12</v>
          </cell>
          <cell r="D1154" t="str">
            <v>dos</v>
          </cell>
          <cell r="E1154">
            <v>45000</v>
          </cell>
          <cell r="F1154">
            <v>45000</v>
          </cell>
          <cell r="G1154">
            <v>3750</v>
          </cell>
          <cell r="H1154">
            <v>5000</v>
          </cell>
          <cell r="I1154" t="str">
            <v>pc</v>
          </cell>
          <cell r="J1154">
            <v>4300</v>
          </cell>
          <cell r="K1154" t="str">
            <v>pc</v>
          </cell>
          <cell r="L1154">
            <v>4000</v>
          </cell>
          <cell r="M1154" t="str">
            <v>pc</v>
          </cell>
          <cell r="T1154">
            <v>47000</v>
          </cell>
          <cell r="U1154">
            <v>12</v>
          </cell>
          <cell r="V1154" t="str">
            <v>lsn</v>
          </cell>
          <cell r="W1154">
            <v>3866.6666666666665</v>
          </cell>
          <cell r="X1154" t="str">
            <v>pc</v>
          </cell>
          <cell r="Y1154">
            <v>3916.6666666666665</v>
          </cell>
          <cell r="Z1154" t="str">
            <v>pc</v>
          </cell>
        </row>
        <row r="1155">
          <cell r="A1155" t="str">
            <v>POPMIA</v>
          </cell>
          <cell r="B1155" t="str">
            <v>Pop Mi Ayam</v>
          </cell>
          <cell r="C1155">
            <v>24</v>
          </cell>
          <cell r="D1155" t="str">
            <v>dos</v>
          </cell>
          <cell r="E1155">
            <v>87000</v>
          </cell>
          <cell r="F1155">
            <v>43500</v>
          </cell>
          <cell r="G1155">
            <v>3625</v>
          </cell>
          <cell r="H1155">
            <v>5000</v>
          </cell>
          <cell r="I1155" t="str">
            <v>pc</v>
          </cell>
          <cell r="J1155">
            <v>4500</v>
          </cell>
          <cell r="K1155" t="str">
            <v>pc</v>
          </cell>
          <cell r="L1155">
            <v>4000</v>
          </cell>
          <cell r="M1155" t="str">
            <v>pc</v>
          </cell>
          <cell r="T1155">
            <v>46000</v>
          </cell>
          <cell r="U1155">
            <v>12</v>
          </cell>
          <cell r="V1155" t="str">
            <v>lsn</v>
          </cell>
          <cell r="W1155">
            <v>3800</v>
          </cell>
          <cell r="X1155" t="str">
            <v>pc</v>
          </cell>
          <cell r="Y1155">
            <v>3900</v>
          </cell>
          <cell r="Z1155" t="str">
            <v>pc</v>
          </cell>
        </row>
        <row r="1156">
          <cell r="A1156" t="str">
            <v>popmig</v>
          </cell>
          <cell r="B1156" t="str">
            <v>Pop Mi Goreng</v>
          </cell>
          <cell r="C1156">
            <v>12</v>
          </cell>
          <cell r="D1156" t="str">
            <v>Dos</v>
          </cell>
          <cell r="E1156">
            <v>45000</v>
          </cell>
          <cell r="F1156">
            <v>45000</v>
          </cell>
          <cell r="G1156">
            <v>3750</v>
          </cell>
          <cell r="H1156">
            <v>5000</v>
          </cell>
          <cell r="I1156" t="str">
            <v>pc</v>
          </cell>
          <cell r="J1156">
            <v>4500</v>
          </cell>
          <cell r="K1156" t="str">
            <v>pc</v>
          </cell>
          <cell r="L1156">
            <v>4000</v>
          </cell>
          <cell r="M1156" t="str">
            <v>pc</v>
          </cell>
          <cell r="T1156">
            <v>47000</v>
          </cell>
          <cell r="U1156">
            <v>12</v>
          </cell>
          <cell r="V1156" t="str">
            <v>lsn</v>
          </cell>
          <cell r="W1156">
            <v>3866.6666666666665</v>
          </cell>
          <cell r="X1156" t="str">
            <v>pc</v>
          </cell>
          <cell r="Y1156">
            <v>3916.6666666666665</v>
          </cell>
          <cell r="Z1156" t="str">
            <v>pc</v>
          </cell>
          <cell r="AA1156">
            <v>47000</v>
          </cell>
          <cell r="AB1156" t="str">
            <v>dos</v>
          </cell>
        </row>
        <row r="1157">
          <cell r="A1157" t="str">
            <v>POPMIS</v>
          </cell>
          <cell r="B1157" t="str">
            <v>Pop Mi Kari Susu / Kari Keju</v>
          </cell>
          <cell r="C1157">
            <v>24</v>
          </cell>
          <cell r="D1157" t="str">
            <v>dos</v>
          </cell>
          <cell r="E1157">
            <v>87700</v>
          </cell>
          <cell r="F1157">
            <v>43850</v>
          </cell>
          <cell r="G1157">
            <v>3654.1666666666665</v>
          </cell>
        </row>
        <row r="1158">
          <cell r="A1158" t="str">
            <v>POPMINI</v>
          </cell>
          <cell r="B1158" t="str">
            <v>Pop Mi MINI</v>
          </cell>
          <cell r="C1158">
            <v>24</v>
          </cell>
          <cell r="D1158" t="str">
            <v>dos</v>
          </cell>
          <cell r="E1158">
            <v>62000</v>
          </cell>
          <cell r="F1158">
            <v>31000</v>
          </cell>
          <cell r="G1158">
            <v>2583.3333333333335</v>
          </cell>
          <cell r="H1158">
            <v>3500</v>
          </cell>
          <cell r="I1158" t="str">
            <v>pc</v>
          </cell>
          <cell r="J1158">
            <v>3500</v>
          </cell>
          <cell r="K1158" t="str">
            <v>pc</v>
          </cell>
          <cell r="L1158">
            <v>3000</v>
          </cell>
          <cell r="M1158" t="str">
            <v>pc</v>
          </cell>
          <cell r="T1158">
            <v>34000</v>
          </cell>
          <cell r="U1158">
            <v>12</v>
          </cell>
          <cell r="V1158" t="str">
            <v>lsn</v>
          </cell>
          <cell r="W1158">
            <v>2800</v>
          </cell>
          <cell r="X1158" t="str">
            <v>pc</v>
          </cell>
          <cell r="Y1158">
            <v>2900</v>
          </cell>
          <cell r="Z1158" t="str">
            <v>pc</v>
          </cell>
        </row>
        <row r="1159">
          <cell r="A1159" t="str">
            <v>SCUP</v>
          </cell>
          <cell r="B1159" t="str">
            <v>Pop Mi Sedap CUP</v>
          </cell>
          <cell r="C1159">
            <v>12</v>
          </cell>
          <cell r="D1159" t="str">
            <v>dos</v>
          </cell>
          <cell r="E1159">
            <v>48025</v>
          </cell>
          <cell r="G1159">
            <v>4002.0833333333335</v>
          </cell>
          <cell r="H1159">
            <v>5000</v>
          </cell>
          <cell r="I1159" t="str">
            <v>pc</v>
          </cell>
          <cell r="J1159">
            <v>4700</v>
          </cell>
          <cell r="K1159" t="str">
            <v>pc</v>
          </cell>
          <cell r="L1159">
            <v>4500</v>
          </cell>
          <cell r="M1159" t="str">
            <v>pc</v>
          </cell>
          <cell r="AA1159">
            <v>51000</v>
          </cell>
          <cell r="AB1159" t="str">
            <v>dos</v>
          </cell>
        </row>
        <row r="1160">
          <cell r="A1160" t="str">
            <v>ARMOUR</v>
          </cell>
          <cell r="B1160" t="str">
            <v>R. ARMOUR</v>
          </cell>
          <cell r="C1160">
            <v>10</v>
          </cell>
          <cell r="D1160" t="str">
            <v>bks</v>
          </cell>
          <cell r="E1160">
            <v>89000</v>
          </cell>
          <cell r="F1160">
            <v>925000</v>
          </cell>
          <cell r="G1160">
            <v>8900</v>
          </cell>
          <cell r="H1160">
            <v>10000</v>
          </cell>
          <cell r="I1160" t="str">
            <v>bks</v>
          </cell>
          <cell r="J1160">
            <v>9200</v>
          </cell>
          <cell r="K1160" t="str">
            <v>bks</v>
          </cell>
          <cell r="L1160">
            <v>9100</v>
          </cell>
          <cell r="M1160" t="str">
            <v>bks</v>
          </cell>
          <cell r="Q1160">
            <v>90000</v>
          </cell>
          <cell r="R1160">
            <v>10</v>
          </cell>
          <cell r="S1160" t="str">
            <v>slop</v>
          </cell>
          <cell r="W1160">
            <v>8975</v>
          </cell>
          <cell r="X1160" t="str">
            <v>bks</v>
          </cell>
          <cell r="Y1160">
            <v>9000</v>
          </cell>
          <cell r="Z1160" t="str">
            <v>bks</v>
          </cell>
        </row>
        <row r="1161">
          <cell r="A1161" t="str">
            <v>SAMSU12</v>
          </cell>
          <cell r="B1161" t="str">
            <v>R. 234/Samsu 12</v>
          </cell>
          <cell r="C1161">
            <v>10</v>
          </cell>
          <cell r="D1161" t="str">
            <v>bks</v>
          </cell>
          <cell r="E1161">
            <v>160000</v>
          </cell>
          <cell r="G1161">
            <v>16000</v>
          </cell>
          <cell r="H1161">
            <v>17000</v>
          </cell>
          <cell r="I1161" t="str">
            <v>bks</v>
          </cell>
          <cell r="J1161">
            <v>16300</v>
          </cell>
          <cell r="K1161" t="str">
            <v>bks</v>
          </cell>
          <cell r="L1161">
            <v>16200</v>
          </cell>
          <cell r="M1161" t="str">
            <v>bks</v>
          </cell>
          <cell r="Q1161">
            <v>161000</v>
          </cell>
          <cell r="R1161">
            <v>10</v>
          </cell>
          <cell r="S1161" t="str">
            <v>slop</v>
          </cell>
          <cell r="W1161">
            <v>16075</v>
          </cell>
          <cell r="X1161" t="str">
            <v>bks</v>
          </cell>
          <cell r="Y1161">
            <v>16100</v>
          </cell>
          <cell r="Z1161" t="str">
            <v>bks</v>
          </cell>
        </row>
        <row r="1162">
          <cell r="A1162" t="str">
            <v>SAMSU16</v>
          </cell>
          <cell r="B1162" t="str">
            <v>R. 234/Samsu 16</v>
          </cell>
          <cell r="C1162">
            <v>10</v>
          </cell>
          <cell r="D1162" t="str">
            <v>bks</v>
          </cell>
          <cell r="E1162">
            <v>207000</v>
          </cell>
          <cell r="G1162">
            <v>20700</v>
          </cell>
          <cell r="H1162">
            <v>22000</v>
          </cell>
          <cell r="I1162" t="str">
            <v>bks</v>
          </cell>
          <cell r="J1162">
            <v>21000</v>
          </cell>
          <cell r="K1162" t="str">
            <v>bks</v>
          </cell>
          <cell r="L1162">
            <v>20900</v>
          </cell>
          <cell r="M1162" t="str">
            <v>bks</v>
          </cell>
          <cell r="Q1162">
            <v>208000</v>
          </cell>
          <cell r="R1162">
            <v>10</v>
          </cell>
          <cell r="S1162" t="str">
            <v>slop</v>
          </cell>
          <cell r="W1162">
            <v>20775</v>
          </cell>
          <cell r="X1162" t="str">
            <v>bks</v>
          </cell>
          <cell r="Y1162">
            <v>20800</v>
          </cell>
          <cell r="Z1162" t="str">
            <v>bks</v>
          </cell>
        </row>
        <row r="1163">
          <cell r="A1163" t="str">
            <v>SAMSUR</v>
          </cell>
          <cell r="B1163" t="str">
            <v>R. Samsu REFILL</v>
          </cell>
          <cell r="C1163">
            <v>10</v>
          </cell>
          <cell r="D1163" t="str">
            <v>bks</v>
          </cell>
          <cell r="E1163">
            <v>182000</v>
          </cell>
          <cell r="G1163">
            <v>18200</v>
          </cell>
          <cell r="H1163">
            <v>19000</v>
          </cell>
          <cell r="I1163" t="str">
            <v>bks</v>
          </cell>
          <cell r="J1163">
            <v>18500</v>
          </cell>
          <cell r="K1163" t="str">
            <v>bks</v>
          </cell>
          <cell r="L1163">
            <v>18400</v>
          </cell>
          <cell r="M1163" t="str">
            <v>bks</v>
          </cell>
          <cell r="Q1163">
            <v>183000</v>
          </cell>
          <cell r="R1163">
            <v>10</v>
          </cell>
          <cell r="S1163" t="str">
            <v>slop</v>
          </cell>
          <cell r="W1163">
            <v>18275</v>
          </cell>
          <cell r="X1163" t="str">
            <v>bks</v>
          </cell>
          <cell r="Y1163">
            <v>18300</v>
          </cell>
          <cell r="Z1163" t="str">
            <v>bks</v>
          </cell>
        </row>
        <row r="1164">
          <cell r="A1164" t="str">
            <v>MAGNUMH</v>
          </cell>
          <cell r="B1164" t="str">
            <v>R. Magnum Mild HITAM</v>
          </cell>
          <cell r="C1164">
            <v>10</v>
          </cell>
          <cell r="D1164" t="str">
            <v>Bks</v>
          </cell>
          <cell r="E1164">
            <v>149000</v>
          </cell>
          <cell r="G1164">
            <v>14900</v>
          </cell>
          <cell r="H1164">
            <v>16000</v>
          </cell>
          <cell r="I1164" t="str">
            <v>Bks</v>
          </cell>
          <cell r="J1164">
            <v>15200</v>
          </cell>
          <cell r="K1164" t="str">
            <v>bks</v>
          </cell>
          <cell r="L1164">
            <v>15100</v>
          </cell>
          <cell r="M1164" t="str">
            <v>bks</v>
          </cell>
          <cell r="Q1164">
            <v>150000</v>
          </cell>
          <cell r="R1164">
            <v>10</v>
          </cell>
          <cell r="S1164" t="str">
            <v>slop</v>
          </cell>
          <cell r="W1164">
            <v>14975</v>
          </cell>
          <cell r="X1164" t="str">
            <v>bks</v>
          </cell>
          <cell r="Y1164">
            <v>15000</v>
          </cell>
          <cell r="Z1164" t="str">
            <v>bks</v>
          </cell>
        </row>
        <row r="1165">
          <cell r="A1165" t="str">
            <v>MAGNUMB16</v>
          </cell>
          <cell r="B1165" t="str">
            <v>R. Magnum Mild BIRU 16</v>
          </cell>
          <cell r="C1165">
            <v>10</v>
          </cell>
          <cell r="D1165" t="str">
            <v>Bks</v>
          </cell>
          <cell r="E1165">
            <v>144000</v>
          </cell>
          <cell r="G1165">
            <v>14400</v>
          </cell>
          <cell r="H1165">
            <v>16000</v>
          </cell>
          <cell r="I1165" t="str">
            <v>Bks</v>
          </cell>
          <cell r="J1165">
            <v>14700</v>
          </cell>
          <cell r="K1165" t="str">
            <v>bks</v>
          </cell>
          <cell r="L1165">
            <v>14600</v>
          </cell>
          <cell r="M1165" t="str">
            <v>bks</v>
          </cell>
          <cell r="Q1165">
            <v>145000</v>
          </cell>
          <cell r="R1165">
            <v>10</v>
          </cell>
          <cell r="S1165" t="str">
            <v>slop</v>
          </cell>
          <cell r="W1165">
            <v>14475</v>
          </cell>
          <cell r="X1165" t="str">
            <v>bks</v>
          </cell>
          <cell r="Y1165">
            <v>14500</v>
          </cell>
          <cell r="Z1165" t="str">
            <v>bks</v>
          </cell>
        </row>
        <row r="1166">
          <cell r="A1166" t="str">
            <v>MAGNUMB20</v>
          </cell>
          <cell r="B1166" t="str">
            <v>R. Magnum Mild BIRU 20</v>
          </cell>
          <cell r="C1166">
            <v>10</v>
          </cell>
          <cell r="D1166" t="str">
            <v>Bks</v>
          </cell>
          <cell r="E1166">
            <v>178000</v>
          </cell>
          <cell r="G1166">
            <v>17800</v>
          </cell>
          <cell r="H1166">
            <v>19000</v>
          </cell>
          <cell r="I1166" t="str">
            <v>Bks</v>
          </cell>
          <cell r="J1166">
            <v>18100</v>
          </cell>
          <cell r="K1166" t="str">
            <v>bks</v>
          </cell>
          <cell r="L1166">
            <v>18000</v>
          </cell>
          <cell r="M1166" t="str">
            <v>bks</v>
          </cell>
          <cell r="Q1166">
            <v>179000</v>
          </cell>
          <cell r="R1166">
            <v>10</v>
          </cell>
          <cell r="S1166" t="str">
            <v>slop</v>
          </cell>
          <cell r="W1166">
            <v>17875</v>
          </cell>
          <cell r="X1166" t="str">
            <v>bks</v>
          </cell>
          <cell r="Y1166">
            <v>17900</v>
          </cell>
          <cell r="Z1166" t="str">
            <v>bks</v>
          </cell>
        </row>
        <row r="1167">
          <cell r="A1167" t="str">
            <v>APACEF</v>
          </cell>
          <cell r="B1167" t="str">
            <v>R. Apace FILTER 16</v>
          </cell>
          <cell r="C1167">
            <v>10</v>
          </cell>
          <cell r="D1167" t="str">
            <v>bks</v>
          </cell>
          <cell r="E1167">
            <v>149000</v>
          </cell>
          <cell r="G1167">
            <v>14900</v>
          </cell>
          <cell r="H1167">
            <v>16000</v>
          </cell>
          <cell r="I1167" t="str">
            <v>bks</v>
          </cell>
          <cell r="J1167">
            <v>15200</v>
          </cell>
          <cell r="K1167" t="str">
            <v>bks</v>
          </cell>
          <cell r="L1167">
            <v>15100</v>
          </cell>
          <cell r="M1167" t="str">
            <v>bks</v>
          </cell>
          <cell r="Q1167">
            <v>150000</v>
          </cell>
          <cell r="R1167">
            <v>10</v>
          </cell>
          <cell r="S1167" t="str">
            <v>slop</v>
          </cell>
          <cell r="W1167">
            <v>14975</v>
          </cell>
          <cell r="X1167" t="str">
            <v>bks</v>
          </cell>
          <cell r="Y1167">
            <v>15000</v>
          </cell>
          <cell r="Z1167" t="str">
            <v>bks</v>
          </cell>
        </row>
        <row r="1168">
          <cell r="A1168" t="str">
            <v>JATI</v>
          </cell>
          <cell r="B1168" t="str">
            <v>R. BRAND JATI</v>
          </cell>
          <cell r="C1168">
            <v>10</v>
          </cell>
          <cell r="D1168" t="str">
            <v>bks</v>
          </cell>
          <cell r="E1168">
            <v>105000</v>
          </cell>
          <cell r="G1168">
            <v>10500</v>
          </cell>
          <cell r="H1168">
            <v>11000</v>
          </cell>
          <cell r="I1168" t="str">
            <v>pc</v>
          </cell>
          <cell r="J1168">
            <v>10800</v>
          </cell>
          <cell r="K1168" t="str">
            <v>bks</v>
          </cell>
          <cell r="L1168">
            <v>10700</v>
          </cell>
          <cell r="M1168" t="str">
            <v>bks</v>
          </cell>
          <cell r="Q1168">
            <v>106000</v>
          </cell>
          <cell r="R1168">
            <v>10</v>
          </cell>
          <cell r="S1168" t="str">
            <v>slop</v>
          </cell>
          <cell r="W1168">
            <v>10575</v>
          </cell>
          <cell r="X1168" t="str">
            <v>bks</v>
          </cell>
          <cell r="Y1168">
            <v>10600</v>
          </cell>
          <cell r="Z1168" t="str">
            <v>bks</v>
          </cell>
        </row>
        <row r="1169">
          <cell r="A1169" t="str">
            <v>BIDI</v>
          </cell>
          <cell r="B1169" t="str">
            <v>R. BIDI</v>
          </cell>
          <cell r="C1169">
            <v>10</v>
          </cell>
          <cell r="D1169" t="str">
            <v>bks</v>
          </cell>
          <cell r="E1169">
            <v>96000</v>
          </cell>
          <cell r="F1169">
            <v>780000</v>
          </cell>
          <cell r="G1169">
            <v>9600</v>
          </cell>
          <cell r="H1169">
            <v>11000</v>
          </cell>
          <cell r="I1169" t="str">
            <v>pc</v>
          </cell>
          <cell r="J1169">
            <v>10000</v>
          </cell>
          <cell r="K1169" t="str">
            <v>bks</v>
          </cell>
          <cell r="L1169">
            <v>9900</v>
          </cell>
          <cell r="M1169" t="str">
            <v>bks</v>
          </cell>
          <cell r="Q1169">
            <v>98000</v>
          </cell>
          <cell r="R1169">
            <v>10</v>
          </cell>
          <cell r="S1169" t="str">
            <v>slop</v>
          </cell>
          <cell r="W1169">
            <v>9775</v>
          </cell>
          <cell r="X1169" t="str">
            <v>bks</v>
          </cell>
          <cell r="Y1169">
            <v>9800</v>
          </cell>
          <cell r="Z1169" t="str">
            <v>bks</v>
          </cell>
        </row>
        <row r="1170">
          <cell r="A1170" t="str">
            <v>BIMA</v>
          </cell>
          <cell r="B1170" t="str">
            <v>R. B I M A</v>
          </cell>
          <cell r="C1170">
            <v>10</v>
          </cell>
          <cell r="D1170" t="str">
            <v>bks</v>
          </cell>
          <cell r="E1170">
            <v>53000</v>
          </cell>
          <cell r="G1170">
            <v>5300</v>
          </cell>
        </row>
        <row r="1171">
          <cell r="A1171" t="str">
            <v>BROWN</v>
          </cell>
          <cell r="B1171" t="str">
            <v>R. Brown</v>
          </cell>
          <cell r="C1171">
            <v>10</v>
          </cell>
          <cell r="D1171" t="str">
            <v>bks</v>
          </cell>
          <cell r="E1171">
            <v>137000</v>
          </cell>
          <cell r="G1171">
            <v>13700</v>
          </cell>
          <cell r="H1171">
            <v>15000</v>
          </cell>
          <cell r="I1171" t="str">
            <v>bks</v>
          </cell>
          <cell r="J1171">
            <v>14000</v>
          </cell>
          <cell r="K1171" t="str">
            <v>bks</v>
          </cell>
          <cell r="L1171">
            <v>13900</v>
          </cell>
          <cell r="M1171" t="str">
            <v>bks</v>
          </cell>
          <cell r="Q1171">
            <v>138000</v>
          </cell>
          <cell r="R1171">
            <v>10</v>
          </cell>
          <cell r="S1171" t="str">
            <v>slop</v>
          </cell>
          <cell r="W1171">
            <v>13775</v>
          </cell>
          <cell r="X1171" t="str">
            <v>bks</v>
          </cell>
          <cell r="Y1171">
            <v>13800</v>
          </cell>
          <cell r="Z1171" t="str">
            <v>bks</v>
          </cell>
          <cell r="AA1171" t="str">
            <v xml:space="preserve">          </v>
          </cell>
        </row>
        <row r="1172">
          <cell r="A1172" t="str">
            <v>BOSINI</v>
          </cell>
          <cell r="B1172" t="str">
            <v>R. BOSINI</v>
          </cell>
          <cell r="C1172">
            <v>10</v>
          </cell>
          <cell r="D1172" t="str">
            <v>bks</v>
          </cell>
          <cell r="E1172">
            <v>88000</v>
          </cell>
          <cell r="G1172">
            <v>8800</v>
          </cell>
          <cell r="H1172">
            <v>10000</v>
          </cell>
          <cell r="I1172" t="str">
            <v>bks</v>
          </cell>
          <cell r="J1172">
            <v>9100</v>
          </cell>
          <cell r="K1172" t="str">
            <v>bks</v>
          </cell>
          <cell r="L1172">
            <v>9000</v>
          </cell>
          <cell r="M1172" t="str">
            <v>bks</v>
          </cell>
          <cell r="Q1172">
            <v>89000</v>
          </cell>
          <cell r="R1172">
            <v>10</v>
          </cell>
          <cell r="S1172" t="str">
            <v>slop</v>
          </cell>
          <cell r="W1172">
            <v>8875</v>
          </cell>
          <cell r="X1172" t="str">
            <v>bks</v>
          </cell>
          <cell r="Y1172">
            <v>8900</v>
          </cell>
          <cell r="Z1172" t="str">
            <v>bks</v>
          </cell>
          <cell r="AA1172" t="str">
            <v xml:space="preserve">          </v>
          </cell>
        </row>
        <row r="1173">
          <cell r="A1173" t="str">
            <v>CARTEL</v>
          </cell>
          <cell r="B1173" t="str">
            <v>R. CARTEL</v>
          </cell>
          <cell r="C1173">
            <v>10</v>
          </cell>
          <cell r="D1173" t="str">
            <v>bks</v>
          </cell>
          <cell r="E1173">
            <v>67500</v>
          </cell>
          <cell r="G1173">
            <v>6750</v>
          </cell>
        </row>
        <row r="1174">
          <cell r="A1174" t="str">
            <v>CLAS12</v>
          </cell>
          <cell r="B1174" t="str">
            <v>R. Class Mild ISI 12</v>
          </cell>
          <cell r="C1174">
            <v>10</v>
          </cell>
          <cell r="D1174" t="str">
            <v>bks</v>
          </cell>
          <cell r="E1174">
            <v>110000</v>
          </cell>
          <cell r="G1174">
            <v>11000</v>
          </cell>
          <cell r="H1174">
            <v>12000</v>
          </cell>
          <cell r="I1174" t="str">
            <v>bks</v>
          </cell>
          <cell r="J1174">
            <v>11300</v>
          </cell>
          <cell r="K1174" t="str">
            <v>bks</v>
          </cell>
          <cell r="L1174">
            <v>11200</v>
          </cell>
          <cell r="M1174" t="str">
            <v>bks</v>
          </cell>
          <cell r="Q1174">
            <v>111000</v>
          </cell>
          <cell r="R1174">
            <v>10</v>
          </cell>
          <cell r="S1174" t="str">
            <v>slop</v>
          </cell>
          <cell r="W1174">
            <v>11075</v>
          </cell>
          <cell r="X1174" t="str">
            <v>bks</v>
          </cell>
          <cell r="Y1174">
            <v>11100</v>
          </cell>
          <cell r="Z1174" t="str">
            <v>bks</v>
          </cell>
        </row>
        <row r="1175">
          <cell r="A1175" t="str">
            <v>CLAS16</v>
          </cell>
          <cell r="B1175" t="str">
            <v>R. Class Mild ISI 16</v>
          </cell>
          <cell r="C1175">
            <v>10</v>
          </cell>
          <cell r="D1175" t="str">
            <v>bks</v>
          </cell>
          <cell r="E1175">
            <v>186000</v>
          </cell>
          <cell r="G1175">
            <v>18600</v>
          </cell>
          <cell r="H1175">
            <v>20000</v>
          </cell>
          <cell r="I1175" t="str">
            <v>bks</v>
          </cell>
          <cell r="J1175">
            <v>18900</v>
          </cell>
          <cell r="K1175" t="str">
            <v>bks</v>
          </cell>
          <cell r="L1175">
            <v>18800</v>
          </cell>
          <cell r="M1175" t="str">
            <v>bks</v>
          </cell>
          <cell r="Q1175">
            <v>187000</v>
          </cell>
          <cell r="R1175">
            <v>10</v>
          </cell>
          <cell r="S1175" t="str">
            <v>slop</v>
          </cell>
          <cell r="W1175">
            <v>18675</v>
          </cell>
          <cell r="X1175" t="str">
            <v>bks</v>
          </cell>
          <cell r="Y1175">
            <v>18700</v>
          </cell>
          <cell r="Z1175" t="str">
            <v>bks</v>
          </cell>
        </row>
        <row r="1176">
          <cell r="A1176" t="str">
            <v>CLASS</v>
          </cell>
          <cell r="B1176" t="str">
            <v>R. Class Mild SLIVER ISI 16</v>
          </cell>
          <cell r="C1176">
            <v>10</v>
          </cell>
          <cell r="D1176" t="str">
            <v>bks</v>
          </cell>
          <cell r="E1176">
            <v>139000</v>
          </cell>
          <cell r="G1176">
            <v>13900</v>
          </cell>
          <cell r="H1176">
            <v>15000</v>
          </cell>
          <cell r="I1176" t="str">
            <v>bks</v>
          </cell>
          <cell r="J1176">
            <v>14200</v>
          </cell>
          <cell r="K1176" t="str">
            <v>bks</v>
          </cell>
          <cell r="L1176">
            <v>14100</v>
          </cell>
          <cell r="M1176" t="str">
            <v>bks</v>
          </cell>
          <cell r="Q1176">
            <v>140000</v>
          </cell>
          <cell r="R1176">
            <v>10</v>
          </cell>
          <cell r="S1176" t="str">
            <v>slop</v>
          </cell>
          <cell r="W1176">
            <v>13975</v>
          </cell>
          <cell r="X1176" t="str">
            <v>bks</v>
          </cell>
          <cell r="Y1176">
            <v>14000</v>
          </cell>
          <cell r="Z1176" t="str">
            <v>bks</v>
          </cell>
        </row>
        <row r="1177">
          <cell r="A1177" t="str">
            <v>CLUB</v>
          </cell>
          <cell r="B1177" t="str">
            <v>R. Club Mild</v>
          </cell>
          <cell r="C1177">
            <v>10</v>
          </cell>
          <cell r="D1177" t="str">
            <v>bks</v>
          </cell>
          <cell r="E1177">
            <v>90800</v>
          </cell>
          <cell r="G1177">
            <v>9080</v>
          </cell>
        </row>
        <row r="1178">
          <cell r="A1178" t="str">
            <v>DUNHILLH</v>
          </cell>
          <cell r="B1178" t="str">
            <v>R. DUNHILL HITAM isi 16</v>
          </cell>
          <cell r="C1178">
            <v>10</v>
          </cell>
          <cell r="D1178" t="str">
            <v>bks</v>
          </cell>
          <cell r="E1178">
            <v>169000</v>
          </cell>
          <cell r="G1178">
            <v>16900</v>
          </cell>
          <cell r="H1178">
            <v>18000</v>
          </cell>
          <cell r="I1178" t="str">
            <v>bks</v>
          </cell>
          <cell r="J1178">
            <v>17200</v>
          </cell>
          <cell r="K1178" t="str">
            <v>bks</v>
          </cell>
          <cell r="L1178">
            <v>17100</v>
          </cell>
          <cell r="M1178" t="str">
            <v>bks</v>
          </cell>
          <cell r="Q1178">
            <v>170000</v>
          </cell>
          <cell r="R1178">
            <v>10</v>
          </cell>
          <cell r="S1178" t="str">
            <v>slop</v>
          </cell>
          <cell r="W1178">
            <v>16975</v>
          </cell>
          <cell r="X1178" t="str">
            <v>bks</v>
          </cell>
          <cell r="Y1178">
            <v>17000</v>
          </cell>
          <cell r="Z1178" t="str">
            <v>bks</v>
          </cell>
        </row>
        <row r="1179">
          <cell r="A1179" t="str">
            <v>DUNHILLP20</v>
          </cell>
          <cell r="B1179" t="str">
            <v>R. DUNHILL PUTIH isi 20</v>
          </cell>
          <cell r="C1179">
            <v>10</v>
          </cell>
          <cell r="D1179" t="str">
            <v>bks</v>
          </cell>
          <cell r="E1179">
            <v>218000</v>
          </cell>
          <cell r="G1179">
            <v>21800</v>
          </cell>
          <cell r="H1179">
            <v>23000</v>
          </cell>
          <cell r="I1179" t="str">
            <v>bks</v>
          </cell>
          <cell r="J1179">
            <v>22100</v>
          </cell>
          <cell r="K1179" t="str">
            <v>bks</v>
          </cell>
          <cell r="L1179">
            <v>22000</v>
          </cell>
          <cell r="M1179" t="str">
            <v>bks</v>
          </cell>
          <cell r="Q1179">
            <v>219000</v>
          </cell>
          <cell r="R1179">
            <v>10</v>
          </cell>
          <cell r="S1179" t="str">
            <v>slop</v>
          </cell>
          <cell r="W1179">
            <v>21875</v>
          </cell>
          <cell r="X1179" t="str">
            <v>bks</v>
          </cell>
          <cell r="Y1179">
            <v>21900</v>
          </cell>
          <cell r="Z1179" t="str">
            <v>bks</v>
          </cell>
        </row>
        <row r="1180">
          <cell r="A1180" t="str">
            <v>DUNHILLP16</v>
          </cell>
          <cell r="B1180" t="str">
            <v>R. DUNHILL PUTIH isi 16</v>
          </cell>
          <cell r="C1180">
            <v>10</v>
          </cell>
          <cell r="D1180" t="str">
            <v>bks</v>
          </cell>
          <cell r="E1180">
            <v>168000</v>
          </cell>
          <cell r="G1180">
            <v>16800</v>
          </cell>
          <cell r="H1180">
            <v>18000</v>
          </cell>
          <cell r="I1180" t="str">
            <v>bks</v>
          </cell>
          <cell r="J1180">
            <v>17100</v>
          </cell>
          <cell r="K1180" t="str">
            <v>bks</v>
          </cell>
          <cell r="L1180">
            <v>17000</v>
          </cell>
          <cell r="M1180" t="str">
            <v>bks</v>
          </cell>
          <cell r="Q1180">
            <v>169000</v>
          </cell>
          <cell r="R1180">
            <v>10</v>
          </cell>
          <cell r="S1180" t="str">
            <v>slop</v>
          </cell>
          <cell r="W1180">
            <v>16875</v>
          </cell>
          <cell r="X1180" t="str">
            <v>bks</v>
          </cell>
          <cell r="Y1180">
            <v>16900</v>
          </cell>
          <cell r="Z1180" t="str">
            <v>bks</v>
          </cell>
        </row>
        <row r="1181">
          <cell r="A1181" t="str">
            <v>ESSEC</v>
          </cell>
          <cell r="B1181" t="str">
            <v>R. ESSE CHANGE  isi 20</v>
          </cell>
          <cell r="C1181">
            <v>10</v>
          </cell>
          <cell r="D1181" t="str">
            <v>bks</v>
          </cell>
          <cell r="E1181">
            <v>241000</v>
          </cell>
          <cell r="G1181">
            <v>24100</v>
          </cell>
          <cell r="H1181">
            <v>25000</v>
          </cell>
          <cell r="I1181" t="str">
            <v>pc</v>
          </cell>
          <cell r="J1181">
            <v>24400</v>
          </cell>
          <cell r="K1181" t="str">
            <v>bks</v>
          </cell>
          <cell r="L1181">
            <v>24300</v>
          </cell>
          <cell r="M1181" t="str">
            <v>bks</v>
          </cell>
          <cell r="Q1181">
            <v>242000</v>
          </cell>
          <cell r="R1181">
            <v>10</v>
          </cell>
          <cell r="S1181" t="str">
            <v>slop</v>
          </cell>
          <cell r="W1181">
            <v>24175</v>
          </cell>
          <cell r="X1181" t="str">
            <v>bks</v>
          </cell>
          <cell r="Y1181">
            <v>24200</v>
          </cell>
          <cell r="Z1181" t="str">
            <v>bks</v>
          </cell>
        </row>
        <row r="1182">
          <cell r="A1182" t="str">
            <v>ESSEP</v>
          </cell>
          <cell r="B1182" t="str">
            <v>R. ESSE POP isi 20</v>
          </cell>
          <cell r="C1182">
            <v>10</v>
          </cell>
          <cell r="D1182" t="str">
            <v>bks</v>
          </cell>
          <cell r="E1182">
            <v>191000</v>
          </cell>
          <cell r="G1182">
            <v>19100</v>
          </cell>
          <cell r="H1182">
            <v>19000</v>
          </cell>
          <cell r="I1182" t="str">
            <v>pc</v>
          </cell>
          <cell r="J1182">
            <v>19400</v>
          </cell>
          <cell r="K1182" t="str">
            <v>bks</v>
          </cell>
          <cell r="L1182">
            <v>19300</v>
          </cell>
          <cell r="M1182" t="str">
            <v>bks</v>
          </cell>
          <cell r="Q1182">
            <v>192000</v>
          </cell>
          <cell r="R1182">
            <v>10</v>
          </cell>
          <cell r="S1182" t="str">
            <v>slop</v>
          </cell>
          <cell r="W1182">
            <v>19175</v>
          </cell>
          <cell r="X1182" t="str">
            <v>bks</v>
          </cell>
          <cell r="Y1182">
            <v>19200</v>
          </cell>
          <cell r="Z1182" t="str">
            <v>bks</v>
          </cell>
        </row>
        <row r="1183">
          <cell r="A1183" t="str">
            <v>GGS</v>
          </cell>
          <cell r="B1183" t="str">
            <v>R. GG SILVER Mild</v>
          </cell>
          <cell r="C1183">
            <v>10</v>
          </cell>
          <cell r="D1183" t="str">
            <v>bks</v>
          </cell>
          <cell r="E1183">
            <v>155000</v>
          </cell>
          <cell r="G1183">
            <v>15500</v>
          </cell>
          <cell r="H1183">
            <v>16000</v>
          </cell>
          <cell r="I1183" t="str">
            <v>bks</v>
          </cell>
          <cell r="J1183">
            <v>15800</v>
          </cell>
          <cell r="K1183" t="str">
            <v>bks</v>
          </cell>
          <cell r="L1183">
            <v>15700</v>
          </cell>
          <cell r="M1183" t="str">
            <v>bks</v>
          </cell>
          <cell r="Q1183">
            <v>156000</v>
          </cell>
          <cell r="R1183">
            <v>10</v>
          </cell>
          <cell r="S1183" t="str">
            <v>slop</v>
          </cell>
          <cell r="W1183">
            <v>15575</v>
          </cell>
          <cell r="X1183" t="str">
            <v>bks</v>
          </cell>
          <cell r="Y1183">
            <v>15600</v>
          </cell>
          <cell r="Z1183" t="str">
            <v>bks</v>
          </cell>
        </row>
        <row r="1184">
          <cell r="A1184" t="str">
            <v>CENGKEH16</v>
          </cell>
          <cell r="B1184" t="str">
            <v>R. Gudang Cengkeh isi 16</v>
          </cell>
          <cell r="C1184">
            <v>10</v>
          </cell>
          <cell r="D1184" t="str">
            <v>bks</v>
          </cell>
          <cell r="E1184">
            <v>45000</v>
          </cell>
          <cell r="G1184">
            <v>4500</v>
          </cell>
        </row>
        <row r="1185">
          <cell r="A1185" t="str">
            <v>CENGKEH20</v>
          </cell>
          <cell r="B1185" t="str">
            <v>R. Gudang Cengkeh isi 20</v>
          </cell>
          <cell r="C1185">
            <v>10</v>
          </cell>
          <cell r="D1185" t="str">
            <v>bks</v>
          </cell>
          <cell r="E1185">
            <v>48000</v>
          </cell>
          <cell r="G1185">
            <v>4800</v>
          </cell>
        </row>
        <row r="1186">
          <cell r="A1186" t="str">
            <v>KUNING</v>
          </cell>
          <cell r="B1186" t="str">
            <v>R. Gudang Garam  Kuning</v>
          </cell>
          <cell r="C1186">
            <v>10</v>
          </cell>
          <cell r="D1186" t="str">
            <v>bks</v>
          </cell>
          <cell r="E1186">
            <v>169000</v>
          </cell>
          <cell r="G1186">
            <v>16900</v>
          </cell>
          <cell r="H1186">
            <v>18000</v>
          </cell>
          <cell r="I1186" t="str">
            <v>bks</v>
          </cell>
          <cell r="J1186">
            <v>17200</v>
          </cell>
          <cell r="K1186" t="str">
            <v>bks</v>
          </cell>
          <cell r="L1186">
            <v>17100</v>
          </cell>
          <cell r="M1186" t="str">
            <v>bks</v>
          </cell>
          <cell r="Q1186">
            <v>170000</v>
          </cell>
          <cell r="R1186">
            <v>10</v>
          </cell>
          <cell r="S1186" t="str">
            <v>slop</v>
          </cell>
          <cell r="W1186">
            <v>16975</v>
          </cell>
          <cell r="X1186" t="str">
            <v>bks</v>
          </cell>
          <cell r="Y1186">
            <v>17000</v>
          </cell>
          <cell r="Z1186" t="str">
            <v>bks</v>
          </cell>
        </row>
        <row r="1187">
          <cell r="A1187" t="str">
            <v>MERAH</v>
          </cell>
          <cell r="B1187" t="str">
            <v>R. Gudang Garam  Merah</v>
          </cell>
          <cell r="C1187">
            <v>10</v>
          </cell>
          <cell r="D1187" t="str">
            <v>bks</v>
          </cell>
          <cell r="E1187">
            <v>120000</v>
          </cell>
          <cell r="G1187">
            <v>12000</v>
          </cell>
          <cell r="H1187">
            <v>13000</v>
          </cell>
          <cell r="I1187" t="str">
            <v>bks</v>
          </cell>
          <cell r="J1187">
            <v>12300</v>
          </cell>
          <cell r="K1187" t="str">
            <v>bks</v>
          </cell>
          <cell r="L1187">
            <v>12200</v>
          </cell>
          <cell r="M1187" t="str">
            <v>bks</v>
          </cell>
          <cell r="Q1187">
            <v>121000</v>
          </cell>
          <cell r="R1187">
            <v>10</v>
          </cell>
          <cell r="S1187" t="str">
            <v>slop</v>
          </cell>
          <cell r="W1187">
            <v>12075</v>
          </cell>
          <cell r="X1187" t="str">
            <v>bks</v>
          </cell>
          <cell r="Y1187">
            <v>12100</v>
          </cell>
          <cell r="Z1187" t="str">
            <v>bks</v>
          </cell>
        </row>
        <row r="1188">
          <cell r="A1188" t="str">
            <v>FILTER</v>
          </cell>
          <cell r="B1188" t="str">
            <v>R. Gudang Garam Filter 12</v>
          </cell>
          <cell r="C1188">
            <v>20</v>
          </cell>
          <cell r="D1188" t="str">
            <v>bks</v>
          </cell>
          <cell r="E1188">
            <v>334000</v>
          </cell>
          <cell r="F1188">
            <v>167000</v>
          </cell>
          <cell r="G1188">
            <v>16700</v>
          </cell>
          <cell r="H1188">
            <v>17500</v>
          </cell>
          <cell r="I1188" t="str">
            <v>bks</v>
          </cell>
          <cell r="J1188">
            <v>17000</v>
          </cell>
          <cell r="K1188" t="str">
            <v>bks</v>
          </cell>
          <cell r="L1188">
            <v>16900</v>
          </cell>
          <cell r="M1188" t="str">
            <v>bks</v>
          </cell>
          <cell r="Q1188">
            <v>336000</v>
          </cell>
          <cell r="R1188">
            <v>20</v>
          </cell>
          <cell r="S1188" t="str">
            <v>slop</v>
          </cell>
          <cell r="W1188">
            <v>16775</v>
          </cell>
          <cell r="X1188" t="str">
            <v>bks</v>
          </cell>
          <cell r="Y1188">
            <v>16800</v>
          </cell>
          <cell r="Z1188" t="str">
            <v>bks</v>
          </cell>
        </row>
        <row r="1189">
          <cell r="A1189" t="str">
            <v>GUDANG</v>
          </cell>
          <cell r="B1189" t="str">
            <v>R. GUDANG JATI</v>
          </cell>
          <cell r="C1189">
            <v>10</v>
          </cell>
          <cell r="D1189" t="str">
            <v>bks</v>
          </cell>
          <cell r="E1189">
            <v>64500</v>
          </cell>
          <cell r="G1189">
            <v>6450</v>
          </cell>
        </row>
        <row r="1190">
          <cell r="A1190" t="str">
            <v>REJEKI</v>
          </cell>
          <cell r="B1190" t="str">
            <v>R. Gudang Rejeki isi 20</v>
          </cell>
          <cell r="C1190">
            <v>10</v>
          </cell>
          <cell r="D1190" t="str">
            <v>bks</v>
          </cell>
          <cell r="E1190">
            <v>54000</v>
          </cell>
          <cell r="G1190">
            <v>5400</v>
          </cell>
        </row>
        <row r="1191">
          <cell r="A1191" t="str">
            <v>UFO</v>
          </cell>
          <cell r="B1191" t="str">
            <v>R. U F O / K E N Z O</v>
          </cell>
          <cell r="C1191">
            <v>10</v>
          </cell>
          <cell r="D1191" t="str">
            <v>bks</v>
          </cell>
          <cell r="E1191">
            <v>67000</v>
          </cell>
          <cell r="G1191">
            <v>6700</v>
          </cell>
          <cell r="H1191">
            <v>8000</v>
          </cell>
          <cell r="I1191" t="str">
            <v>bks</v>
          </cell>
          <cell r="J1191">
            <v>7000</v>
          </cell>
          <cell r="K1191" t="str">
            <v>bks</v>
          </cell>
          <cell r="L1191">
            <v>6900</v>
          </cell>
          <cell r="M1191" t="str">
            <v>bks</v>
          </cell>
          <cell r="Q1191">
            <v>68000</v>
          </cell>
          <cell r="R1191">
            <v>10</v>
          </cell>
          <cell r="S1191" t="str">
            <v>slop</v>
          </cell>
          <cell r="W1191">
            <v>6775</v>
          </cell>
          <cell r="X1191" t="str">
            <v>bks</v>
          </cell>
          <cell r="Y1191">
            <v>6800</v>
          </cell>
          <cell r="Z1191" t="str">
            <v>bks</v>
          </cell>
        </row>
        <row r="1192">
          <cell r="A1192" t="str">
            <v>SMART</v>
          </cell>
          <cell r="B1192" t="str">
            <v>R. SMART MILD</v>
          </cell>
          <cell r="C1192">
            <v>10</v>
          </cell>
          <cell r="D1192" t="str">
            <v>bks</v>
          </cell>
          <cell r="E1192">
            <v>68000</v>
          </cell>
          <cell r="G1192">
            <v>6800</v>
          </cell>
          <cell r="H1192">
            <v>8000</v>
          </cell>
          <cell r="I1192" t="str">
            <v>bks</v>
          </cell>
          <cell r="J1192">
            <v>7100</v>
          </cell>
          <cell r="K1192" t="str">
            <v>bks</v>
          </cell>
          <cell r="L1192">
            <v>7000</v>
          </cell>
          <cell r="M1192" t="str">
            <v>bks</v>
          </cell>
          <cell r="Q1192">
            <v>69000</v>
          </cell>
          <cell r="R1192">
            <v>10</v>
          </cell>
          <cell r="S1192" t="str">
            <v>slop</v>
          </cell>
          <cell r="W1192">
            <v>6875</v>
          </cell>
          <cell r="X1192" t="str">
            <v>bks</v>
          </cell>
          <cell r="Y1192">
            <v>6900</v>
          </cell>
          <cell r="Z1192" t="str">
            <v>bks</v>
          </cell>
        </row>
        <row r="1193">
          <cell r="A1193" t="str">
            <v>HALIM</v>
          </cell>
          <cell r="B1193" t="str">
            <v>R. Halim</v>
          </cell>
          <cell r="C1193">
            <v>10</v>
          </cell>
          <cell r="D1193" t="str">
            <v>bks</v>
          </cell>
          <cell r="E1193">
            <v>145000</v>
          </cell>
          <cell r="G1193">
            <v>14500</v>
          </cell>
          <cell r="H1193">
            <v>16000</v>
          </cell>
          <cell r="I1193" t="str">
            <v>bks</v>
          </cell>
          <cell r="J1193">
            <v>14800</v>
          </cell>
          <cell r="K1193" t="str">
            <v>bks</v>
          </cell>
          <cell r="L1193">
            <v>14700</v>
          </cell>
          <cell r="M1193" t="str">
            <v>bks</v>
          </cell>
          <cell r="Q1193">
            <v>146000</v>
          </cell>
          <cell r="R1193">
            <v>10</v>
          </cell>
          <cell r="S1193" t="str">
            <v>slop</v>
          </cell>
          <cell r="W1193">
            <v>14575</v>
          </cell>
          <cell r="X1193" t="str">
            <v>bks</v>
          </cell>
          <cell r="Y1193">
            <v>14600</v>
          </cell>
          <cell r="Z1193" t="str">
            <v>bks</v>
          </cell>
        </row>
        <row r="1194">
          <cell r="A1194" t="str">
            <v>ISTANA</v>
          </cell>
          <cell r="B1194" t="str">
            <v>R. Istana</v>
          </cell>
          <cell r="C1194">
            <v>10</v>
          </cell>
          <cell r="D1194" t="str">
            <v>bks</v>
          </cell>
          <cell r="E1194">
            <v>56000</v>
          </cell>
          <cell r="G1194">
            <v>5600</v>
          </cell>
          <cell r="H1194">
            <v>6000</v>
          </cell>
          <cell r="I1194" t="str">
            <v>bks</v>
          </cell>
          <cell r="J1194">
            <v>6000</v>
          </cell>
          <cell r="K1194" t="str">
            <v>bks</v>
          </cell>
          <cell r="L1194">
            <v>5900</v>
          </cell>
          <cell r="M1194" t="str">
            <v>bks</v>
          </cell>
          <cell r="Q1194">
            <v>58000</v>
          </cell>
          <cell r="R1194">
            <v>10</v>
          </cell>
          <cell r="S1194" t="str">
            <v>slop</v>
          </cell>
          <cell r="W1194">
            <v>5775</v>
          </cell>
          <cell r="X1194" t="str">
            <v>bks</v>
          </cell>
          <cell r="Y1194">
            <v>5800</v>
          </cell>
          <cell r="Z1194" t="str">
            <v>bks</v>
          </cell>
        </row>
        <row r="1195">
          <cell r="A1195" t="str">
            <v>JARUM76F</v>
          </cell>
          <cell r="B1195" t="str">
            <v>R. Jarum 76 Filter</v>
          </cell>
          <cell r="C1195">
            <v>10</v>
          </cell>
          <cell r="D1195" t="str">
            <v>bks</v>
          </cell>
          <cell r="E1195">
            <v>133000</v>
          </cell>
          <cell r="G1195">
            <v>13300</v>
          </cell>
        </row>
        <row r="1196">
          <cell r="A1196" t="str">
            <v>JARUM76K</v>
          </cell>
          <cell r="B1196" t="str">
            <v>R. Jarum 76 Kretek</v>
          </cell>
          <cell r="C1196">
            <v>10</v>
          </cell>
          <cell r="D1196" t="str">
            <v>bks</v>
          </cell>
          <cell r="E1196">
            <v>158000</v>
          </cell>
          <cell r="G1196">
            <v>15800</v>
          </cell>
          <cell r="H1196">
            <v>17000</v>
          </cell>
          <cell r="I1196" t="str">
            <v>bks</v>
          </cell>
          <cell r="J1196">
            <v>16100</v>
          </cell>
          <cell r="K1196" t="str">
            <v>bks</v>
          </cell>
          <cell r="L1196">
            <v>16000</v>
          </cell>
          <cell r="M1196" t="str">
            <v xml:space="preserve"> </v>
          </cell>
          <cell r="Q1196">
            <v>159000</v>
          </cell>
          <cell r="R1196">
            <v>10</v>
          </cell>
          <cell r="S1196" t="str">
            <v>slop</v>
          </cell>
          <cell r="W1196">
            <v>15875</v>
          </cell>
          <cell r="X1196" t="str">
            <v xml:space="preserve"> </v>
          </cell>
          <cell r="Y1196">
            <v>15900</v>
          </cell>
          <cell r="Z1196" t="str">
            <v xml:space="preserve"> </v>
          </cell>
        </row>
        <row r="1197">
          <cell r="A1197" t="str">
            <v>JARUMB</v>
          </cell>
          <cell r="B1197" t="str">
            <v>R. JARUM BLACK</v>
          </cell>
          <cell r="C1197">
            <v>10</v>
          </cell>
          <cell r="D1197" t="str">
            <v>bks</v>
          </cell>
          <cell r="E1197">
            <v>128000</v>
          </cell>
          <cell r="G1197">
            <v>12800</v>
          </cell>
          <cell r="H1197">
            <v>14000</v>
          </cell>
          <cell r="I1197" t="str">
            <v>bks</v>
          </cell>
          <cell r="J1197">
            <v>13100</v>
          </cell>
          <cell r="K1197" t="str">
            <v>bks</v>
          </cell>
          <cell r="L1197">
            <v>13000</v>
          </cell>
          <cell r="M1197" t="str">
            <v>bks</v>
          </cell>
          <cell r="Q1197">
            <v>129000</v>
          </cell>
          <cell r="R1197">
            <v>10</v>
          </cell>
          <cell r="S1197" t="str">
            <v>slop</v>
          </cell>
          <cell r="W1197">
            <v>12875</v>
          </cell>
          <cell r="X1197" t="str">
            <v>bks</v>
          </cell>
          <cell r="Y1197">
            <v>12900</v>
          </cell>
          <cell r="Z1197" t="str">
            <v>bks</v>
          </cell>
        </row>
        <row r="1198">
          <cell r="A1198" t="str">
            <v>JARUM20</v>
          </cell>
          <cell r="B1198" t="str">
            <v>R. Jarum Mild Super (20)</v>
          </cell>
          <cell r="C1198">
            <v>10</v>
          </cell>
          <cell r="D1198" t="str">
            <v>bks</v>
          </cell>
          <cell r="E1198">
            <v>123500</v>
          </cell>
          <cell r="G1198">
            <v>12350</v>
          </cell>
          <cell r="H1198">
            <v>13000</v>
          </cell>
          <cell r="I1198" t="str">
            <v>bks</v>
          </cell>
          <cell r="J1198">
            <v>12650</v>
          </cell>
          <cell r="K1198" t="str">
            <v>bks</v>
          </cell>
          <cell r="L1198">
            <v>12550</v>
          </cell>
          <cell r="M1198" t="str">
            <v>bks</v>
          </cell>
          <cell r="Q1198">
            <v>124500</v>
          </cell>
          <cell r="R1198">
            <v>10</v>
          </cell>
          <cell r="S1198" t="str">
            <v>slop</v>
          </cell>
          <cell r="W1198">
            <v>12425</v>
          </cell>
          <cell r="X1198" t="str">
            <v>bks</v>
          </cell>
          <cell r="Y1198">
            <v>12450</v>
          </cell>
          <cell r="Z1198" t="str">
            <v>bks</v>
          </cell>
        </row>
        <row r="1199">
          <cell r="A1199" t="str">
            <v>LUCKYM</v>
          </cell>
          <cell r="B1199" t="str">
            <v>R. LUCKY STRIKE MERAH ISI 16</v>
          </cell>
          <cell r="C1199">
            <v>10</v>
          </cell>
          <cell r="D1199" t="str">
            <v>bks</v>
          </cell>
          <cell r="E1199">
            <v>166500</v>
          </cell>
          <cell r="G1199">
            <v>16650</v>
          </cell>
          <cell r="H1199">
            <v>17500</v>
          </cell>
          <cell r="I1199" t="str">
            <v>bks</v>
          </cell>
          <cell r="J1199">
            <v>17000</v>
          </cell>
          <cell r="K1199" t="str">
            <v>bks</v>
          </cell>
          <cell r="L1199">
            <v>16900</v>
          </cell>
          <cell r="M1199" t="str">
            <v>bks</v>
          </cell>
          <cell r="Q1199">
            <v>168000</v>
          </cell>
          <cell r="R1199">
            <v>10</v>
          </cell>
          <cell r="S1199" t="str">
            <v>slop</v>
          </cell>
          <cell r="W1199">
            <v>16775</v>
          </cell>
          <cell r="X1199" t="str">
            <v>bks</v>
          </cell>
          <cell r="Y1199">
            <v>16800</v>
          </cell>
          <cell r="Z1199" t="str">
            <v>bks</v>
          </cell>
        </row>
        <row r="1200">
          <cell r="A1200" t="str">
            <v>LUCKYB</v>
          </cell>
          <cell r="B1200" t="str">
            <v>R. LUCKY STRIKE BOLD ISI 12</v>
          </cell>
          <cell r="C1200">
            <v>10</v>
          </cell>
          <cell r="D1200" t="str">
            <v>bks</v>
          </cell>
          <cell r="E1200">
            <v>99000</v>
          </cell>
          <cell r="G1200">
            <v>9900</v>
          </cell>
          <cell r="H1200">
            <v>11000</v>
          </cell>
          <cell r="I1200" t="str">
            <v>bks</v>
          </cell>
          <cell r="J1200">
            <v>10200</v>
          </cell>
          <cell r="K1200" t="str">
            <v>bks</v>
          </cell>
          <cell r="L1200">
            <v>10100</v>
          </cell>
          <cell r="M1200" t="str">
            <v>bks</v>
          </cell>
          <cell r="Q1200">
            <v>100000</v>
          </cell>
          <cell r="R1200">
            <v>10</v>
          </cell>
          <cell r="S1200" t="str">
            <v>slop</v>
          </cell>
          <cell r="W1200">
            <v>9975</v>
          </cell>
          <cell r="X1200" t="str">
            <v>bks</v>
          </cell>
          <cell r="Y1200">
            <v>10000</v>
          </cell>
          <cell r="Z1200" t="str">
            <v>bks</v>
          </cell>
        </row>
        <row r="1201">
          <cell r="A1201" t="str">
            <v>LAB20</v>
          </cell>
          <cell r="B1201" t="str">
            <v>R. LA BOLD 20</v>
          </cell>
          <cell r="C1201">
            <v>10</v>
          </cell>
          <cell r="D1201" t="str">
            <v>bks</v>
          </cell>
          <cell r="E1201">
            <v>240000</v>
          </cell>
          <cell r="G1201">
            <v>24000</v>
          </cell>
          <cell r="H1201">
            <v>25000</v>
          </cell>
          <cell r="I1201" t="str">
            <v>bks</v>
          </cell>
          <cell r="J1201">
            <v>24300</v>
          </cell>
          <cell r="K1201" t="str">
            <v>bks</v>
          </cell>
          <cell r="L1201">
            <v>24200</v>
          </cell>
          <cell r="M1201" t="str">
            <v>bks</v>
          </cell>
          <cell r="Q1201">
            <v>241000</v>
          </cell>
          <cell r="R1201">
            <v>10</v>
          </cell>
          <cell r="S1201" t="str">
            <v>slop</v>
          </cell>
          <cell r="W1201">
            <v>24075</v>
          </cell>
          <cell r="X1201" t="str">
            <v>bks</v>
          </cell>
          <cell r="Y1201">
            <v>24100</v>
          </cell>
          <cell r="Z1201" t="str">
            <v>bks</v>
          </cell>
        </row>
        <row r="1202">
          <cell r="A1202" t="str">
            <v>LAB16</v>
          </cell>
          <cell r="B1202" t="str">
            <v>R. LA BOLD 16</v>
          </cell>
          <cell r="C1202">
            <v>10</v>
          </cell>
          <cell r="D1202" t="str">
            <v>bks</v>
          </cell>
          <cell r="E1202">
            <v>159000</v>
          </cell>
          <cell r="G1202">
            <v>15900</v>
          </cell>
          <cell r="H1202">
            <v>17000</v>
          </cell>
          <cell r="I1202" t="str">
            <v>bks</v>
          </cell>
          <cell r="J1202">
            <v>16200</v>
          </cell>
          <cell r="K1202" t="str">
            <v>bks</v>
          </cell>
          <cell r="L1202">
            <v>16100</v>
          </cell>
          <cell r="M1202" t="str">
            <v>bks</v>
          </cell>
          <cell r="Q1202">
            <v>160000</v>
          </cell>
          <cell r="R1202">
            <v>10</v>
          </cell>
          <cell r="S1202" t="str">
            <v>slop</v>
          </cell>
          <cell r="W1202">
            <v>15975</v>
          </cell>
          <cell r="X1202" t="str">
            <v>bks</v>
          </cell>
          <cell r="Y1202">
            <v>16000</v>
          </cell>
          <cell r="Z1202" t="str">
            <v>bks</v>
          </cell>
        </row>
        <row r="1203">
          <cell r="A1203" t="str">
            <v>LAB12</v>
          </cell>
          <cell r="B1203" t="str">
            <v>R. LA BOLD 12</v>
          </cell>
          <cell r="C1203">
            <v>10</v>
          </cell>
          <cell r="D1203" t="str">
            <v>bks</v>
          </cell>
          <cell r="E1203">
            <v>124000</v>
          </cell>
          <cell r="G1203">
            <v>12400</v>
          </cell>
          <cell r="H1203">
            <v>13000</v>
          </cell>
          <cell r="I1203" t="str">
            <v>bks</v>
          </cell>
          <cell r="J1203">
            <v>12700</v>
          </cell>
          <cell r="K1203" t="str">
            <v>bks</v>
          </cell>
          <cell r="L1203">
            <v>12600</v>
          </cell>
          <cell r="M1203" t="str">
            <v>bks</v>
          </cell>
          <cell r="Q1203">
            <v>125000</v>
          </cell>
          <cell r="R1203">
            <v>10</v>
          </cell>
          <cell r="S1203" t="str">
            <v>slop</v>
          </cell>
          <cell r="W1203">
            <v>12475</v>
          </cell>
          <cell r="X1203" t="str">
            <v>bks</v>
          </cell>
          <cell r="Y1203">
            <v>12500</v>
          </cell>
          <cell r="Z1203" t="str">
            <v>bks</v>
          </cell>
        </row>
        <row r="1204">
          <cell r="A1204" t="str">
            <v>LAM16</v>
          </cell>
          <cell r="B1204" t="str">
            <v>R. LA BOLD MERAH 16</v>
          </cell>
          <cell r="C1204">
            <v>10</v>
          </cell>
          <cell r="D1204" t="str">
            <v>bks</v>
          </cell>
          <cell r="E1204">
            <v>155000</v>
          </cell>
          <cell r="G1204">
            <v>15500</v>
          </cell>
          <cell r="H1204">
            <v>17000</v>
          </cell>
          <cell r="I1204" t="str">
            <v>bks</v>
          </cell>
          <cell r="J1204">
            <v>15800</v>
          </cell>
          <cell r="K1204" t="str">
            <v>bks</v>
          </cell>
          <cell r="L1204">
            <v>15700</v>
          </cell>
          <cell r="M1204" t="str">
            <v>bks</v>
          </cell>
          <cell r="Q1204">
            <v>156000</v>
          </cell>
          <cell r="R1204">
            <v>10</v>
          </cell>
          <cell r="S1204" t="str">
            <v>slop</v>
          </cell>
          <cell r="W1204">
            <v>15575</v>
          </cell>
          <cell r="X1204" t="str">
            <v>bks</v>
          </cell>
          <cell r="Y1204">
            <v>15600</v>
          </cell>
          <cell r="Z1204" t="str">
            <v>bks</v>
          </cell>
        </row>
        <row r="1205">
          <cell r="A1205" t="str">
            <v>LAP</v>
          </cell>
          <cell r="B1205" t="str">
            <v>R. LA Merah/Hijau</v>
          </cell>
          <cell r="C1205">
            <v>10</v>
          </cell>
          <cell r="D1205" t="str">
            <v>bks</v>
          </cell>
          <cell r="E1205">
            <v>194000</v>
          </cell>
          <cell r="G1205">
            <v>19400</v>
          </cell>
          <cell r="H1205">
            <v>20000</v>
          </cell>
          <cell r="I1205" t="str">
            <v>bks</v>
          </cell>
          <cell r="J1205">
            <v>19700</v>
          </cell>
          <cell r="K1205" t="str">
            <v>bks</v>
          </cell>
          <cell r="L1205">
            <v>19600</v>
          </cell>
          <cell r="M1205" t="str">
            <v>bks</v>
          </cell>
          <cell r="Q1205">
            <v>195000</v>
          </cell>
          <cell r="R1205">
            <v>10</v>
          </cell>
          <cell r="S1205" t="str">
            <v>slop</v>
          </cell>
          <cell r="W1205">
            <v>19475</v>
          </cell>
          <cell r="X1205" t="str">
            <v>bks</v>
          </cell>
          <cell r="Y1205">
            <v>19500</v>
          </cell>
          <cell r="Z1205" t="str">
            <v>bks</v>
          </cell>
        </row>
        <row r="1206">
          <cell r="A1206" t="str">
            <v>MARBURU</v>
          </cell>
          <cell r="B1206" t="str">
            <v>R. TEMBAKAU MARBURU</v>
          </cell>
          <cell r="C1206">
            <v>20</v>
          </cell>
          <cell r="D1206" t="str">
            <v>bks</v>
          </cell>
          <cell r="E1206">
            <v>67000</v>
          </cell>
          <cell r="G1206">
            <v>3350</v>
          </cell>
          <cell r="H1206">
            <v>5000</v>
          </cell>
          <cell r="I1206" t="str">
            <v>bks</v>
          </cell>
          <cell r="J1206">
            <v>3800</v>
          </cell>
          <cell r="K1206" t="str">
            <v>bks</v>
          </cell>
          <cell r="L1206">
            <v>3700</v>
          </cell>
          <cell r="M1206" t="str">
            <v>bks</v>
          </cell>
          <cell r="Q1206">
            <v>70000</v>
          </cell>
          <cell r="R1206">
            <v>20</v>
          </cell>
          <cell r="S1206" t="str">
            <v>slop</v>
          </cell>
          <cell r="W1206">
            <v>3475</v>
          </cell>
          <cell r="X1206" t="str">
            <v>bks</v>
          </cell>
          <cell r="Y1206">
            <v>3500</v>
          </cell>
          <cell r="Z1206" t="str">
            <v>bks</v>
          </cell>
        </row>
        <row r="1207">
          <cell r="A1207" t="str">
            <v>MARBOROF20</v>
          </cell>
          <cell r="B1207" t="str">
            <v>R. Marllboro FILTER isi 20</v>
          </cell>
          <cell r="C1207">
            <v>10</v>
          </cell>
          <cell r="D1207" t="str">
            <v>bks</v>
          </cell>
          <cell r="E1207">
            <v>225000</v>
          </cell>
          <cell r="G1207">
            <v>22500</v>
          </cell>
          <cell r="H1207">
            <v>23000</v>
          </cell>
          <cell r="I1207" t="str">
            <v>bks</v>
          </cell>
          <cell r="J1207">
            <v>22800</v>
          </cell>
          <cell r="K1207" t="str">
            <v>bks</v>
          </cell>
          <cell r="L1207">
            <v>22700</v>
          </cell>
          <cell r="M1207" t="str">
            <v>bks</v>
          </cell>
          <cell r="Q1207">
            <v>226000</v>
          </cell>
          <cell r="R1207">
            <v>10</v>
          </cell>
          <cell r="S1207" t="str">
            <v>slop</v>
          </cell>
          <cell r="W1207">
            <v>22575</v>
          </cell>
          <cell r="X1207" t="str">
            <v>bks</v>
          </cell>
          <cell r="Y1207">
            <v>22600</v>
          </cell>
          <cell r="Z1207" t="str">
            <v>bks</v>
          </cell>
        </row>
        <row r="1208">
          <cell r="A1208" t="str">
            <v>MARBOROF12</v>
          </cell>
          <cell r="B1208" t="str">
            <v>R. Marllboro FILTER isi 12</v>
          </cell>
          <cell r="C1208">
            <v>10</v>
          </cell>
          <cell r="D1208" t="str">
            <v>bks</v>
          </cell>
          <cell r="E1208">
            <v>129000</v>
          </cell>
          <cell r="G1208">
            <v>12900</v>
          </cell>
          <cell r="H1208">
            <v>15000</v>
          </cell>
          <cell r="I1208" t="str">
            <v>bks</v>
          </cell>
          <cell r="J1208">
            <v>13200</v>
          </cell>
          <cell r="K1208" t="str">
            <v>bks</v>
          </cell>
          <cell r="L1208">
            <v>13100</v>
          </cell>
          <cell r="M1208" t="str">
            <v>bks</v>
          </cell>
          <cell r="Q1208">
            <v>130000</v>
          </cell>
          <cell r="R1208">
            <v>10</v>
          </cell>
          <cell r="S1208" t="str">
            <v>slop</v>
          </cell>
          <cell r="W1208">
            <v>12975</v>
          </cell>
          <cell r="X1208" t="str">
            <v>bks</v>
          </cell>
          <cell r="Y1208">
            <v>13000</v>
          </cell>
          <cell r="Z1208" t="str">
            <v>bks</v>
          </cell>
        </row>
        <row r="1209">
          <cell r="A1209" t="str">
            <v>MARBOROM</v>
          </cell>
          <cell r="B1209" t="str">
            <v>R. Marllboro Merah/Hijau/Hitam/Putih</v>
          </cell>
          <cell r="C1209">
            <v>10</v>
          </cell>
          <cell r="D1209" t="str">
            <v>bks</v>
          </cell>
          <cell r="E1209">
            <v>236000</v>
          </cell>
          <cell r="G1209">
            <v>23600</v>
          </cell>
          <cell r="H1209">
            <v>25000</v>
          </cell>
          <cell r="I1209" t="str">
            <v>bks</v>
          </cell>
          <cell r="J1209">
            <v>23900</v>
          </cell>
          <cell r="K1209" t="str">
            <v>bks</v>
          </cell>
          <cell r="L1209">
            <v>23800</v>
          </cell>
          <cell r="M1209" t="str">
            <v>bks</v>
          </cell>
          <cell r="Q1209">
            <v>237000</v>
          </cell>
          <cell r="R1209">
            <v>10</v>
          </cell>
          <cell r="S1209" t="str">
            <v>slop</v>
          </cell>
          <cell r="W1209">
            <v>23675</v>
          </cell>
          <cell r="X1209" t="str">
            <v>bks</v>
          </cell>
          <cell r="Y1209">
            <v>23700</v>
          </cell>
          <cell r="Z1209" t="str">
            <v>bks</v>
          </cell>
        </row>
        <row r="1210">
          <cell r="A1210" t="str">
            <v>MLDP20</v>
          </cell>
          <cell r="B1210" t="str">
            <v>R. MLD PUTIH ISI 20</v>
          </cell>
          <cell r="C1210">
            <v>10</v>
          </cell>
          <cell r="D1210" t="str">
            <v>bks</v>
          </cell>
          <cell r="E1210">
            <v>210000</v>
          </cell>
          <cell r="G1210">
            <v>21000</v>
          </cell>
          <cell r="H1210">
            <v>22000</v>
          </cell>
          <cell r="I1210" t="str">
            <v>bks</v>
          </cell>
          <cell r="J1210">
            <v>21300</v>
          </cell>
          <cell r="K1210" t="str">
            <v>bks</v>
          </cell>
          <cell r="L1210">
            <v>21200</v>
          </cell>
          <cell r="M1210" t="str">
            <v>bks</v>
          </cell>
          <cell r="Q1210">
            <v>211000</v>
          </cell>
          <cell r="R1210">
            <v>10</v>
          </cell>
          <cell r="S1210" t="str">
            <v>slop</v>
          </cell>
          <cell r="W1210">
            <v>21075</v>
          </cell>
          <cell r="X1210" t="str">
            <v>bks</v>
          </cell>
          <cell r="Y1210">
            <v>21100</v>
          </cell>
          <cell r="Z1210" t="str">
            <v>bks</v>
          </cell>
        </row>
        <row r="1211">
          <cell r="A1211" t="str">
            <v>MLDP16</v>
          </cell>
          <cell r="B1211" t="str">
            <v>R. MLD PUTIH ISI 16</v>
          </cell>
          <cell r="C1211">
            <v>10</v>
          </cell>
          <cell r="D1211" t="str">
            <v>bks</v>
          </cell>
          <cell r="E1211">
            <v>147000</v>
          </cell>
          <cell r="G1211">
            <v>14700</v>
          </cell>
          <cell r="H1211">
            <v>16000</v>
          </cell>
          <cell r="I1211" t="str">
            <v>bks</v>
          </cell>
          <cell r="J1211">
            <v>15000</v>
          </cell>
          <cell r="K1211" t="str">
            <v>bks</v>
          </cell>
          <cell r="L1211">
            <v>14900</v>
          </cell>
          <cell r="M1211" t="str">
            <v>bks</v>
          </cell>
          <cell r="Q1211">
            <v>148000</v>
          </cell>
          <cell r="R1211">
            <v>10</v>
          </cell>
          <cell r="S1211" t="str">
            <v>slop</v>
          </cell>
          <cell r="W1211">
            <v>14775</v>
          </cell>
          <cell r="X1211" t="str">
            <v>bks</v>
          </cell>
          <cell r="Y1211">
            <v>14800</v>
          </cell>
          <cell r="Z1211" t="str">
            <v>bks</v>
          </cell>
        </row>
        <row r="1212">
          <cell r="A1212" t="str">
            <v>MLDH16</v>
          </cell>
          <cell r="B1212" t="str">
            <v>R. MLD HITAM ISI 16</v>
          </cell>
          <cell r="C1212">
            <v>10</v>
          </cell>
          <cell r="D1212" t="str">
            <v>bks</v>
          </cell>
          <cell r="E1212">
            <v>169000</v>
          </cell>
          <cell r="G1212">
            <v>16900</v>
          </cell>
          <cell r="H1212">
            <v>17000</v>
          </cell>
          <cell r="I1212" t="str">
            <v>bks</v>
          </cell>
          <cell r="J1212">
            <v>17200</v>
          </cell>
          <cell r="K1212" t="str">
            <v>bks</v>
          </cell>
          <cell r="L1212">
            <v>17100</v>
          </cell>
          <cell r="M1212" t="str">
            <v>bks</v>
          </cell>
          <cell r="Q1212">
            <v>170000</v>
          </cell>
          <cell r="R1212">
            <v>10</v>
          </cell>
          <cell r="S1212" t="str">
            <v>slop</v>
          </cell>
          <cell r="W1212">
            <v>16975</v>
          </cell>
          <cell r="X1212" t="str">
            <v>bks</v>
          </cell>
          <cell r="Y1212">
            <v>17000</v>
          </cell>
          <cell r="Z1212" t="str">
            <v>bks</v>
          </cell>
        </row>
        <row r="1213">
          <cell r="A1213" t="str">
            <v>MLDH12</v>
          </cell>
          <cell r="B1213" t="str">
            <v>R. MLD HITAM ISI 12</v>
          </cell>
          <cell r="C1213">
            <v>10</v>
          </cell>
          <cell r="D1213" t="str">
            <v>bks</v>
          </cell>
          <cell r="E1213">
            <v>117000</v>
          </cell>
          <cell r="G1213">
            <v>11700</v>
          </cell>
          <cell r="H1213">
            <v>12500</v>
          </cell>
          <cell r="I1213" t="str">
            <v>bks</v>
          </cell>
          <cell r="J1213">
            <v>12000</v>
          </cell>
          <cell r="K1213" t="str">
            <v>bks</v>
          </cell>
          <cell r="L1213">
            <v>11900</v>
          </cell>
          <cell r="M1213" t="str">
            <v>bks</v>
          </cell>
          <cell r="Q1213">
            <v>118000</v>
          </cell>
          <cell r="R1213">
            <v>10</v>
          </cell>
          <cell r="S1213" t="str">
            <v>slop</v>
          </cell>
          <cell r="W1213">
            <v>11775</v>
          </cell>
          <cell r="X1213" t="str">
            <v>bks</v>
          </cell>
          <cell r="Y1213">
            <v>11800</v>
          </cell>
          <cell r="Z1213" t="str">
            <v>bks</v>
          </cell>
        </row>
        <row r="1214">
          <cell r="A1214" t="str">
            <v>NAXAN16</v>
          </cell>
          <cell r="B1214" t="str">
            <v>R. NAXAN isi 16</v>
          </cell>
          <cell r="C1214">
            <v>10</v>
          </cell>
          <cell r="D1214" t="str">
            <v>bks</v>
          </cell>
          <cell r="E1214">
            <v>75000</v>
          </cell>
          <cell r="F1214">
            <v>732000</v>
          </cell>
          <cell r="G1214">
            <v>7500</v>
          </cell>
          <cell r="H1214">
            <v>8500</v>
          </cell>
          <cell r="I1214" t="str">
            <v>bks</v>
          </cell>
          <cell r="J1214">
            <v>7800</v>
          </cell>
          <cell r="K1214" t="str">
            <v>bks</v>
          </cell>
          <cell r="L1214">
            <v>7700</v>
          </cell>
          <cell r="M1214" t="str">
            <v>bks</v>
          </cell>
          <cell r="Q1214">
            <v>76000</v>
          </cell>
          <cell r="R1214">
            <v>10</v>
          </cell>
          <cell r="S1214" t="str">
            <v>slop</v>
          </cell>
          <cell r="W1214">
            <v>7575</v>
          </cell>
          <cell r="X1214" t="str">
            <v>bks</v>
          </cell>
          <cell r="Y1214">
            <v>7600</v>
          </cell>
          <cell r="Z1214" t="str">
            <v>bks</v>
          </cell>
        </row>
        <row r="1215">
          <cell r="A1215" t="str">
            <v>NAXAN20</v>
          </cell>
          <cell r="B1215" t="str">
            <v>R. NAXAN isi 20</v>
          </cell>
          <cell r="C1215">
            <v>10</v>
          </cell>
          <cell r="D1215" t="str">
            <v>bks</v>
          </cell>
          <cell r="E1215">
            <v>86000</v>
          </cell>
          <cell r="F1215">
            <v>780000</v>
          </cell>
          <cell r="G1215">
            <v>8600</v>
          </cell>
          <cell r="H1215">
            <v>10000</v>
          </cell>
          <cell r="I1215" t="str">
            <v>bks</v>
          </cell>
          <cell r="J1215">
            <v>8900</v>
          </cell>
          <cell r="K1215" t="str">
            <v>bks</v>
          </cell>
          <cell r="L1215">
            <v>8800</v>
          </cell>
          <cell r="M1215" t="str">
            <v>bks</v>
          </cell>
          <cell r="Q1215">
            <v>87000</v>
          </cell>
          <cell r="R1215">
            <v>10</v>
          </cell>
          <cell r="S1215" t="str">
            <v>slop</v>
          </cell>
          <cell r="W1215">
            <v>8675</v>
          </cell>
          <cell r="X1215" t="str">
            <v>bks</v>
          </cell>
          <cell r="Y1215">
            <v>8700</v>
          </cell>
          <cell r="Z1215" t="str">
            <v>bks</v>
          </cell>
        </row>
        <row r="1216">
          <cell r="A1216" t="str">
            <v>WINMILD</v>
          </cell>
          <cell r="B1216" t="str">
            <v>R. WIN MILD</v>
          </cell>
          <cell r="C1216">
            <v>10</v>
          </cell>
          <cell r="D1216" t="str">
            <v>bks</v>
          </cell>
          <cell r="E1216">
            <v>100000</v>
          </cell>
          <cell r="G1216">
            <v>10000</v>
          </cell>
        </row>
        <row r="1217">
          <cell r="A1217" t="str">
            <v>PENSILM</v>
          </cell>
          <cell r="B1217" t="str">
            <v>R. Pensil 20 MILD PUTIH</v>
          </cell>
          <cell r="C1217">
            <v>10</v>
          </cell>
          <cell r="D1217" t="str">
            <v>bks</v>
          </cell>
          <cell r="E1217">
            <v>169000</v>
          </cell>
          <cell r="G1217">
            <v>16900</v>
          </cell>
          <cell r="H1217">
            <v>17500</v>
          </cell>
          <cell r="I1217" t="str">
            <v>bks</v>
          </cell>
          <cell r="J1217">
            <v>17200</v>
          </cell>
          <cell r="K1217" t="str">
            <v>bks</v>
          </cell>
          <cell r="L1217">
            <v>17100</v>
          </cell>
          <cell r="M1217" t="str">
            <v>bks</v>
          </cell>
          <cell r="Q1217">
            <v>170000</v>
          </cell>
          <cell r="R1217">
            <v>10</v>
          </cell>
          <cell r="S1217" t="str">
            <v>slop</v>
          </cell>
          <cell r="W1217">
            <v>16975</v>
          </cell>
          <cell r="X1217" t="str">
            <v>bks</v>
          </cell>
          <cell r="Y1217">
            <v>17000</v>
          </cell>
          <cell r="Z1217" t="str">
            <v>bks</v>
          </cell>
        </row>
        <row r="1218">
          <cell r="A1218" t="str">
            <v>PENSIL16</v>
          </cell>
          <cell r="B1218" t="str">
            <v>R. Pensil 16</v>
          </cell>
          <cell r="C1218">
            <v>10</v>
          </cell>
          <cell r="D1218" t="str">
            <v>bks</v>
          </cell>
          <cell r="E1218">
            <v>139000</v>
          </cell>
          <cell r="G1218">
            <v>13900</v>
          </cell>
          <cell r="I1218" t="str">
            <v>bks</v>
          </cell>
          <cell r="J1218">
            <v>14200</v>
          </cell>
          <cell r="K1218" t="str">
            <v>bks</v>
          </cell>
          <cell r="L1218">
            <v>14100</v>
          </cell>
          <cell r="M1218" t="str">
            <v>bks</v>
          </cell>
          <cell r="Q1218">
            <v>140000</v>
          </cell>
          <cell r="R1218">
            <v>10</v>
          </cell>
          <cell r="S1218" t="str">
            <v>slop</v>
          </cell>
          <cell r="W1218">
            <v>13975</v>
          </cell>
          <cell r="X1218" t="str">
            <v>bks</v>
          </cell>
          <cell r="Y1218">
            <v>14000</v>
          </cell>
          <cell r="Z1218" t="str">
            <v>bks</v>
          </cell>
        </row>
        <row r="1219">
          <cell r="A1219" t="str">
            <v>PENSIL20</v>
          </cell>
          <cell r="B1219" t="str">
            <v>R. Pensil 20</v>
          </cell>
          <cell r="C1219">
            <v>10</v>
          </cell>
          <cell r="D1219" t="str">
            <v>bks</v>
          </cell>
          <cell r="E1219">
            <v>169000</v>
          </cell>
          <cell r="G1219">
            <v>16900</v>
          </cell>
          <cell r="H1219">
            <v>17500</v>
          </cell>
          <cell r="I1219" t="str">
            <v>bks</v>
          </cell>
          <cell r="J1219">
            <v>17200</v>
          </cell>
          <cell r="K1219" t="str">
            <v>bks</v>
          </cell>
          <cell r="L1219">
            <v>17100</v>
          </cell>
          <cell r="M1219" t="str">
            <v>bks</v>
          </cell>
          <cell r="Q1219">
            <v>170000</v>
          </cell>
          <cell r="R1219">
            <v>10</v>
          </cell>
          <cell r="S1219" t="str">
            <v>slop</v>
          </cell>
          <cell r="W1219">
            <v>16975</v>
          </cell>
          <cell r="X1219" t="str">
            <v>bks</v>
          </cell>
          <cell r="Y1219">
            <v>17000</v>
          </cell>
          <cell r="Z1219" t="str">
            <v>bks</v>
          </cell>
        </row>
        <row r="1220">
          <cell r="A1220" t="str">
            <v>PLUS</v>
          </cell>
          <cell r="B1220" t="str">
            <v xml:space="preserve">R. PLUS </v>
          </cell>
          <cell r="C1220">
            <v>10</v>
          </cell>
          <cell r="D1220" t="str">
            <v>bks</v>
          </cell>
          <cell r="E1220">
            <v>86000</v>
          </cell>
          <cell r="G1220">
            <v>8600</v>
          </cell>
          <cell r="H1220">
            <v>10000</v>
          </cell>
          <cell r="I1220" t="str">
            <v>bks</v>
          </cell>
          <cell r="J1220">
            <v>8900</v>
          </cell>
          <cell r="K1220" t="str">
            <v>bks</v>
          </cell>
          <cell r="L1220">
            <v>8800</v>
          </cell>
          <cell r="M1220" t="str">
            <v>bks</v>
          </cell>
          <cell r="Q1220">
            <v>87000</v>
          </cell>
          <cell r="R1220">
            <v>10</v>
          </cell>
          <cell r="S1220" t="str">
            <v>slop</v>
          </cell>
          <cell r="W1220">
            <v>8675</v>
          </cell>
          <cell r="X1220" t="str">
            <v>bks</v>
          </cell>
          <cell r="Y1220">
            <v>8700</v>
          </cell>
          <cell r="Z1220" t="str">
            <v>bks</v>
          </cell>
        </row>
        <row r="1221">
          <cell r="A1221" t="str">
            <v>PIALA</v>
          </cell>
          <cell r="B1221" t="str">
            <v>R. Piala</v>
          </cell>
          <cell r="C1221">
            <v>10</v>
          </cell>
          <cell r="D1221" t="str">
            <v>bks</v>
          </cell>
          <cell r="E1221">
            <v>53000</v>
          </cell>
          <cell r="G1221">
            <v>5300</v>
          </cell>
        </row>
        <row r="1222">
          <cell r="A1222" t="str">
            <v>PUSAKA</v>
          </cell>
          <cell r="B1222" t="str">
            <v>R. Pusaka</v>
          </cell>
          <cell r="C1222">
            <v>10</v>
          </cell>
          <cell r="D1222" t="str">
            <v>bks</v>
          </cell>
          <cell r="E1222">
            <v>75500</v>
          </cell>
          <cell r="G1222">
            <v>7550</v>
          </cell>
          <cell r="H1222">
            <v>8000</v>
          </cell>
          <cell r="I1222" t="str">
            <v>bks</v>
          </cell>
          <cell r="J1222">
            <v>7850</v>
          </cell>
          <cell r="K1222" t="str">
            <v>bks</v>
          </cell>
          <cell r="L1222">
            <v>7750</v>
          </cell>
          <cell r="M1222" t="str">
            <v>bks</v>
          </cell>
          <cell r="Q1222">
            <v>76500</v>
          </cell>
          <cell r="R1222">
            <v>10</v>
          </cell>
          <cell r="S1222" t="str">
            <v>slop</v>
          </cell>
          <cell r="W1222">
            <v>7625</v>
          </cell>
          <cell r="X1222" t="str">
            <v>bks</v>
          </cell>
          <cell r="Y1222">
            <v>7650</v>
          </cell>
          <cell r="Z1222" t="str">
            <v>bks</v>
          </cell>
        </row>
        <row r="1223">
          <cell r="A1223" t="str">
            <v>PHILIP</v>
          </cell>
          <cell r="B1223" t="str">
            <v>R. Sampoerna Philipmoris</v>
          </cell>
          <cell r="C1223">
            <v>10</v>
          </cell>
          <cell r="D1223" t="str">
            <v>bks</v>
          </cell>
          <cell r="E1223">
            <v>110000</v>
          </cell>
          <cell r="G1223">
            <v>11000</v>
          </cell>
          <cell r="H1223">
            <v>12000</v>
          </cell>
          <cell r="I1223" t="str">
            <v>bks</v>
          </cell>
          <cell r="J1223">
            <v>11300</v>
          </cell>
          <cell r="K1223" t="str">
            <v>bks</v>
          </cell>
          <cell r="L1223">
            <v>11200</v>
          </cell>
          <cell r="M1223" t="str">
            <v>bks</v>
          </cell>
          <cell r="Q1223">
            <v>111000</v>
          </cell>
          <cell r="R1223">
            <v>10</v>
          </cell>
          <cell r="S1223" t="str">
            <v>slop</v>
          </cell>
          <cell r="W1223">
            <v>11075</v>
          </cell>
          <cell r="X1223" t="str">
            <v>bks</v>
          </cell>
          <cell r="Y1223">
            <v>11100</v>
          </cell>
          <cell r="Z1223" t="str">
            <v>bks</v>
          </cell>
        </row>
        <row r="1224">
          <cell r="A1224" t="str">
            <v>VOLUTION</v>
          </cell>
          <cell r="B1224" t="str">
            <v>R. Sampoerna Evolution</v>
          </cell>
          <cell r="C1224">
            <v>10</v>
          </cell>
          <cell r="D1224" t="str">
            <v>bks</v>
          </cell>
          <cell r="E1224">
            <v>243000</v>
          </cell>
          <cell r="G1224">
            <v>24300</v>
          </cell>
          <cell r="H1224">
            <v>26000</v>
          </cell>
          <cell r="I1224" t="str">
            <v>bks</v>
          </cell>
          <cell r="J1224">
            <v>24600</v>
          </cell>
          <cell r="K1224" t="str">
            <v>bks</v>
          </cell>
          <cell r="L1224">
            <v>24500</v>
          </cell>
          <cell r="M1224" t="str">
            <v>bks</v>
          </cell>
          <cell r="Q1224">
            <v>244000</v>
          </cell>
          <cell r="R1224">
            <v>10</v>
          </cell>
          <cell r="S1224" t="str">
            <v>slop</v>
          </cell>
          <cell r="W1224">
            <v>24375</v>
          </cell>
          <cell r="X1224" t="str">
            <v>bks</v>
          </cell>
          <cell r="Y1224">
            <v>24400</v>
          </cell>
          <cell r="Z1224" t="str">
            <v>bks</v>
          </cell>
        </row>
        <row r="1225">
          <cell r="A1225" t="str">
            <v>AKRETEK</v>
          </cell>
          <cell r="B1225" t="str">
            <v>R. Sampoerna Kretek</v>
          </cell>
          <cell r="C1225">
            <v>10</v>
          </cell>
          <cell r="D1225" t="str">
            <v>bks</v>
          </cell>
          <cell r="E1225">
            <v>107000</v>
          </cell>
          <cell r="F1225">
            <v>53500</v>
          </cell>
          <cell r="G1225">
            <v>10700</v>
          </cell>
          <cell r="H1225">
            <v>12000</v>
          </cell>
          <cell r="I1225" t="str">
            <v>bks</v>
          </cell>
          <cell r="J1225">
            <v>11100</v>
          </cell>
          <cell r="K1225" t="str">
            <v>bks</v>
          </cell>
          <cell r="L1225">
            <v>11000</v>
          </cell>
          <cell r="M1225" t="str">
            <v>bks</v>
          </cell>
          <cell r="Q1225">
            <v>109000</v>
          </cell>
          <cell r="R1225">
            <v>10</v>
          </cell>
          <cell r="S1225" t="str">
            <v>slop</v>
          </cell>
          <cell r="W1225">
            <v>10875</v>
          </cell>
          <cell r="X1225" t="str">
            <v>bks</v>
          </cell>
          <cell r="Y1225">
            <v>10900</v>
          </cell>
          <cell r="Z1225" t="str">
            <v>bks</v>
          </cell>
        </row>
        <row r="1226">
          <cell r="A1226" t="str">
            <v>AMILDH</v>
          </cell>
          <cell r="B1226" t="str">
            <v>R. Sampoerna Mild Hitam Filter</v>
          </cell>
          <cell r="C1226">
            <v>10</v>
          </cell>
          <cell r="D1226" t="str">
            <v>bks</v>
          </cell>
          <cell r="E1226">
            <v>131000</v>
          </cell>
          <cell r="G1226">
            <v>13100</v>
          </cell>
          <cell r="H1226">
            <v>14000</v>
          </cell>
          <cell r="I1226" t="str">
            <v>bks</v>
          </cell>
          <cell r="J1226">
            <v>13400</v>
          </cell>
          <cell r="K1226" t="str">
            <v>bks</v>
          </cell>
          <cell r="L1226">
            <v>13300</v>
          </cell>
          <cell r="M1226" t="str">
            <v>bks</v>
          </cell>
          <cell r="Q1226">
            <v>132000</v>
          </cell>
          <cell r="R1226">
            <v>10</v>
          </cell>
          <cell r="S1226" t="str">
            <v>slop</v>
          </cell>
          <cell r="W1226">
            <v>13175</v>
          </cell>
          <cell r="X1226" t="str">
            <v>bks</v>
          </cell>
          <cell r="Y1226">
            <v>13200</v>
          </cell>
          <cell r="Z1226" t="str">
            <v>bks</v>
          </cell>
        </row>
        <row r="1227">
          <cell r="A1227" t="str">
            <v>AMILD16</v>
          </cell>
          <cell r="B1227" t="str">
            <v>R. Sampoerna Mild 16 Merah isi 16</v>
          </cell>
          <cell r="C1227">
            <v>10</v>
          </cell>
          <cell r="D1227" t="str">
            <v>bks</v>
          </cell>
          <cell r="E1227">
            <v>221000</v>
          </cell>
          <cell r="G1227">
            <v>22100</v>
          </cell>
          <cell r="H1227">
            <v>23000</v>
          </cell>
          <cell r="I1227" t="str">
            <v>bks</v>
          </cell>
          <cell r="J1227">
            <v>22400</v>
          </cell>
          <cell r="K1227" t="str">
            <v>bks</v>
          </cell>
          <cell r="L1227">
            <v>22300</v>
          </cell>
          <cell r="M1227" t="str">
            <v>bks</v>
          </cell>
          <cell r="Q1227">
            <v>222000</v>
          </cell>
          <cell r="R1227">
            <v>10</v>
          </cell>
          <cell r="S1227" t="str">
            <v>slop</v>
          </cell>
          <cell r="W1227">
            <v>22175</v>
          </cell>
          <cell r="X1227" t="str">
            <v>bks</v>
          </cell>
          <cell r="Y1227">
            <v>22200</v>
          </cell>
          <cell r="Z1227" t="str">
            <v>bks</v>
          </cell>
        </row>
        <row r="1228">
          <cell r="A1228" t="str">
            <v>AMILD12</v>
          </cell>
          <cell r="B1228" t="str">
            <v>R. Sampoerna Mild 16 Merah isi 12</v>
          </cell>
          <cell r="C1228">
            <v>10</v>
          </cell>
          <cell r="D1228" t="str">
            <v>bks</v>
          </cell>
          <cell r="E1228">
            <v>157000</v>
          </cell>
          <cell r="G1228">
            <v>15700</v>
          </cell>
          <cell r="H1228">
            <v>16000</v>
          </cell>
          <cell r="I1228" t="str">
            <v>bks</v>
          </cell>
          <cell r="J1228">
            <v>16000</v>
          </cell>
          <cell r="K1228" t="str">
            <v>bks</v>
          </cell>
          <cell r="L1228">
            <v>15900</v>
          </cell>
          <cell r="M1228" t="str">
            <v>bks</v>
          </cell>
          <cell r="Q1228">
            <v>158000</v>
          </cell>
          <cell r="R1228">
            <v>10</v>
          </cell>
          <cell r="S1228" t="str">
            <v>slop</v>
          </cell>
          <cell r="W1228">
            <v>15775</v>
          </cell>
          <cell r="X1228" t="str">
            <v>bks</v>
          </cell>
          <cell r="Y1228">
            <v>15800</v>
          </cell>
          <cell r="Z1228" t="str">
            <v>bks</v>
          </cell>
        </row>
        <row r="1229">
          <cell r="A1229" t="str">
            <v>SIGNATURE</v>
          </cell>
          <cell r="B1229" t="str">
            <v>R. SIGNATURE biru isi 16</v>
          </cell>
          <cell r="C1229">
            <v>10</v>
          </cell>
          <cell r="D1229" t="str">
            <v>bks</v>
          </cell>
          <cell r="E1229">
            <v>158000</v>
          </cell>
          <cell r="G1229">
            <v>15800</v>
          </cell>
          <cell r="H1229">
            <v>17000</v>
          </cell>
          <cell r="I1229" t="str">
            <v>bks</v>
          </cell>
          <cell r="J1229">
            <v>16100</v>
          </cell>
          <cell r="K1229" t="str">
            <v>bks</v>
          </cell>
          <cell r="L1229">
            <v>16000</v>
          </cell>
          <cell r="M1229" t="str">
            <v>bks</v>
          </cell>
          <cell r="Q1229">
            <v>159000</v>
          </cell>
          <cell r="R1229">
            <v>10</v>
          </cell>
          <cell r="S1229" t="str">
            <v>slop</v>
          </cell>
          <cell r="W1229">
            <v>15875</v>
          </cell>
          <cell r="X1229" t="str">
            <v>bks</v>
          </cell>
          <cell r="Y1229">
            <v>15900</v>
          </cell>
          <cell r="Z1229" t="str">
            <v>bks</v>
          </cell>
        </row>
        <row r="1230">
          <cell r="A1230" t="str">
            <v>SIGNA12</v>
          </cell>
          <cell r="B1230" t="str">
            <v>R. SIGNATURE Hitam isi 12</v>
          </cell>
          <cell r="C1230">
            <v>10</v>
          </cell>
          <cell r="D1230" t="str">
            <v>bks</v>
          </cell>
          <cell r="E1230">
            <v>119000</v>
          </cell>
          <cell r="G1230">
            <v>11900</v>
          </cell>
        </row>
        <row r="1231">
          <cell r="A1231" t="str">
            <v>SM</v>
          </cell>
          <cell r="B1231" t="str">
            <v>R. S M</v>
          </cell>
          <cell r="C1231">
            <v>10</v>
          </cell>
          <cell r="D1231" t="str">
            <v>bks</v>
          </cell>
          <cell r="E1231">
            <v>63000</v>
          </cell>
          <cell r="G1231">
            <v>6300</v>
          </cell>
        </row>
        <row r="1232">
          <cell r="A1232" t="str">
            <v>STAR</v>
          </cell>
          <cell r="B1232" t="str">
            <v>R. Star Mild</v>
          </cell>
          <cell r="C1232">
            <v>10</v>
          </cell>
          <cell r="D1232" t="str">
            <v>bks</v>
          </cell>
          <cell r="E1232">
            <v>141000</v>
          </cell>
          <cell r="G1232">
            <v>14100</v>
          </cell>
        </row>
        <row r="1233">
          <cell r="A1233" t="str">
            <v>SY12</v>
          </cell>
          <cell r="B1233" t="str">
            <v>R. Surya 12</v>
          </cell>
          <cell r="C1233">
            <v>10</v>
          </cell>
          <cell r="D1233" t="str">
            <v>bks</v>
          </cell>
          <cell r="E1233">
            <v>165000</v>
          </cell>
          <cell r="F1233">
            <v>16500</v>
          </cell>
          <cell r="G1233">
            <v>16500</v>
          </cell>
          <cell r="H1233">
            <v>17500</v>
          </cell>
          <cell r="I1233" t="str">
            <v>bks</v>
          </cell>
          <cell r="J1233">
            <v>16800</v>
          </cell>
          <cell r="K1233" t="str">
            <v>bks</v>
          </cell>
          <cell r="L1233">
            <v>16700</v>
          </cell>
          <cell r="M1233" t="str">
            <v>bks</v>
          </cell>
          <cell r="Q1233">
            <v>166000</v>
          </cell>
          <cell r="R1233">
            <v>10</v>
          </cell>
          <cell r="S1233" t="str">
            <v>slop</v>
          </cell>
          <cell r="W1233">
            <v>16575</v>
          </cell>
          <cell r="X1233" t="str">
            <v>bks</v>
          </cell>
          <cell r="Y1233">
            <v>16600</v>
          </cell>
          <cell r="Z1233" t="str">
            <v>bks</v>
          </cell>
        </row>
        <row r="1234">
          <cell r="A1234" t="str">
            <v>SY16</v>
          </cell>
          <cell r="B1234" t="str">
            <v>R. Surya 16</v>
          </cell>
          <cell r="C1234">
            <v>10</v>
          </cell>
          <cell r="D1234" t="str">
            <v>bks</v>
          </cell>
          <cell r="E1234">
            <v>221000</v>
          </cell>
          <cell r="F1234">
            <v>22100</v>
          </cell>
          <cell r="G1234">
            <v>22100</v>
          </cell>
          <cell r="H1234">
            <v>23000</v>
          </cell>
          <cell r="I1234" t="str">
            <v>bks</v>
          </cell>
          <cell r="J1234">
            <v>22400</v>
          </cell>
          <cell r="K1234" t="str">
            <v>bks</v>
          </cell>
          <cell r="L1234">
            <v>22300</v>
          </cell>
          <cell r="M1234" t="str">
            <v>bks</v>
          </cell>
          <cell r="Q1234">
            <v>222000</v>
          </cell>
          <cell r="R1234">
            <v>10</v>
          </cell>
          <cell r="S1234" t="str">
            <v>slop</v>
          </cell>
          <cell r="W1234">
            <v>22175</v>
          </cell>
          <cell r="X1234" t="str">
            <v>bks</v>
          </cell>
          <cell r="Y1234">
            <v>22200</v>
          </cell>
          <cell r="Z1234" t="str">
            <v>bks</v>
          </cell>
        </row>
        <row r="1235">
          <cell r="A1235" t="str">
            <v>EXCLU16</v>
          </cell>
          <cell r="B1235" t="str">
            <v>R. Surya EXLUSIVE isi16</v>
          </cell>
          <cell r="C1235">
            <v>10</v>
          </cell>
          <cell r="D1235" t="str">
            <v>bks</v>
          </cell>
          <cell r="E1235">
            <v>173500</v>
          </cell>
          <cell r="F1235">
            <v>174500</v>
          </cell>
          <cell r="G1235">
            <v>17350</v>
          </cell>
        </row>
        <row r="1236">
          <cell r="A1236" t="str">
            <v>EXCLU12</v>
          </cell>
          <cell r="B1236" t="str">
            <v>R. Surya EXLUSIVE isi 12</v>
          </cell>
          <cell r="C1236">
            <v>10</v>
          </cell>
          <cell r="D1236" t="str">
            <v>bks</v>
          </cell>
          <cell r="E1236">
            <v>132500</v>
          </cell>
          <cell r="G1236">
            <v>13250</v>
          </cell>
        </row>
        <row r="1237">
          <cell r="A1237" t="str">
            <v>PROFESIONAL</v>
          </cell>
          <cell r="B1237" t="str">
            <v>R. Surya Profesional</v>
          </cell>
          <cell r="C1237">
            <v>10</v>
          </cell>
          <cell r="D1237" t="str">
            <v>bks</v>
          </cell>
          <cell r="E1237">
            <v>178000</v>
          </cell>
          <cell r="G1237">
            <v>17800</v>
          </cell>
          <cell r="H1237">
            <v>18500</v>
          </cell>
          <cell r="I1237" t="str">
            <v>bks</v>
          </cell>
          <cell r="J1237">
            <v>18100</v>
          </cell>
          <cell r="K1237" t="str">
            <v>bks</v>
          </cell>
          <cell r="L1237">
            <v>18000</v>
          </cell>
          <cell r="M1237" t="str">
            <v>bks</v>
          </cell>
          <cell r="Q1237">
            <v>179000</v>
          </cell>
          <cell r="R1237">
            <v>10</v>
          </cell>
          <cell r="S1237" t="str">
            <v>slop</v>
          </cell>
          <cell r="W1237">
            <v>17875</v>
          </cell>
          <cell r="X1237" t="str">
            <v>bks</v>
          </cell>
          <cell r="Y1237">
            <v>17900</v>
          </cell>
          <cell r="Z1237" t="str">
            <v>bks</v>
          </cell>
        </row>
        <row r="1238">
          <cell r="A1238" t="str">
            <v>PROMILD</v>
          </cell>
          <cell r="B1238" t="str">
            <v>R. Surya Promild</v>
          </cell>
          <cell r="C1238">
            <v>10</v>
          </cell>
          <cell r="D1238" t="str">
            <v>bks</v>
          </cell>
          <cell r="E1238">
            <v>178000</v>
          </cell>
          <cell r="G1238">
            <v>17800</v>
          </cell>
          <cell r="H1238">
            <v>18500</v>
          </cell>
          <cell r="I1238" t="str">
            <v>bks</v>
          </cell>
          <cell r="J1238">
            <v>18100</v>
          </cell>
          <cell r="K1238" t="str">
            <v>bks</v>
          </cell>
          <cell r="L1238">
            <v>18000</v>
          </cell>
          <cell r="M1238" t="str">
            <v>bks</v>
          </cell>
          <cell r="Q1238">
            <v>179000</v>
          </cell>
          <cell r="R1238">
            <v>10</v>
          </cell>
          <cell r="S1238" t="str">
            <v>slop</v>
          </cell>
          <cell r="W1238">
            <v>17875</v>
          </cell>
          <cell r="X1238" t="str">
            <v>bks</v>
          </cell>
          <cell r="Y1238">
            <v>17900</v>
          </cell>
          <cell r="Z1238" t="str">
            <v>bks</v>
          </cell>
        </row>
        <row r="1239">
          <cell r="A1239" t="str">
            <v>UMILD16</v>
          </cell>
          <cell r="B1239" t="str">
            <v>R. Umild Isi 16</v>
          </cell>
          <cell r="C1239">
            <v>10</v>
          </cell>
          <cell r="D1239" t="str">
            <v>bks</v>
          </cell>
          <cell r="E1239">
            <v>176000</v>
          </cell>
          <cell r="G1239">
            <v>17600</v>
          </cell>
          <cell r="H1239">
            <v>19000</v>
          </cell>
          <cell r="I1239" t="str">
            <v>bks</v>
          </cell>
          <cell r="J1239">
            <v>17900</v>
          </cell>
          <cell r="K1239" t="str">
            <v>bks</v>
          </cell>
          <cell r="L1239">
            <v>17800</v>
          </cell>
          <cell r="M1239" t="str">
            <v>bks</v>
          </cell>
          <cell r="Q1239">
            <v>177000</v>
          </cell>
          <cell r="R1239">
            <v>10</v>
          </cell>
          <cell r="S1239" t="str">
            <v>slop</v>
          </cell>
          <cell r="W1239">
            <v>17675</v>
          </cell>
          <cell r="X1239" t="str">
            <v>bks</v>
          </cell>
          <cell r="Y1239">
            <v>17700</v>
          </cell>
          <cell r="Z1239" t="str">
            <v>bks</v>
          </cell>
        </row>
        <row r="1240">
          <cell r="A1240" t="str">
            <v>UMILD12</v>
          </cell>
          <cell r="B1240" t="str">
            <v>R. Umild Isi 12</v>
          </cell>
          <cell r="C1240">
            <v>10</v>
          </cell>
          <cell r="D1240" t="str">
            <v>bks</v>
          </cell>
          <cell r="E1240">
            <v>110000</v>
          </cell>
          <cell r="G1240">
            <v>11000</v>
          </cell>
          <cell r="H1240">
            <v>12000</v>
          </cell>
          <cell r="I1240" t="str">
            <v>bks</v>
          </cell>
          <cell r="J1240">
            <v>11300</v>
          </cell>
          <cell r="K1240" t="str">
            <v>bks</v>
          </cell>
          <cell r="L1240">
            <v>11200</v>
          </cell>
          <cell r="M1240" t="str">
            <v>bks</v>
          </cell>
          <cell r="Q1240">
            <v>111000</v>
          </cell>
          <cell r="R1240">
            <v>10</v>
          </cell>
          <cell r="S1240" t="str">
            <v>slop</v>
          </cell>
          <cell r="W1240">
            <v>11075</v>
          </cell>
          <cell r="X1240" t="str">
            <v>bks</v>
          </cell>
          <cell r="Y1240">
            <v>11100</v>
          </cell>
          <cell r="Z1240" t="str">
            <v>bks</v>
          </cell>
        </row>
        <row r="1241">
          <cell r="A1241" t="str">
            <v>TRACK</v>
          </cell>
          <cell r="B1241" t="str">
            <v>R. TRACK</v>
          </cell>
          <cell r="C1241">
            <v>10</v>
          </cell>
          <cell r="D1241" t="str">
            <v>bks</v>
          </cell>
          <cell r="E1241">
            <v>155000</v>
          </cell>
          <cell r="G1241">
            <v>15500</v>
          </cell>
          <cell r="H1241">
            <v>17000</v>
          </cell>
          <cell r="I1241" t="str">
            <v>bks</v>
          </cell>
          <cell r="J1241">
            <v>15800</v>
          </cell>
          <cell r="K1241" t="str">
            <v>bks</v>
          </cell>
          <cell r="L1241">
            <v>15700</v>
          </cell>
          <cell r="M1241" t="str">
            <v>bks</v>
          </cell>
          <cell r="Q1241">
            <v>156000</v>
          </cell>
          <cell r="R1241">
            <v>10</v>
          </cell>
          <cell r="S1241" t="str">
            <v>slop</v>
          </cell>
          <cell r="W1241">
            <v>15575</v>
          </cell>
          <cell r="X1241" t="str">
            <v>bks</v>
          </cell>
          <cell r="Y1241">
            <v>15600</v>
          </cell>
          <cell r="Z1241" t="str">
            <v>bks</v>
          </cell>
        </row>
        <row r="1242">
          <cell r="A1242" t="str">
            <v>NANO</v>
          </cell>
          <cell r="B1242" t="str">
            <v>R. Up Nano</v>
          </cell>
          <cell r="C1242">
            <v>10</v>
          </cell>
          <cell r="D1242" t="str">
            <v>bks</v>
          </cell>
          <cell r="E1242">
            <v>139000</v>
          </cell>
          <cell r="G1242">
            <v>13900</v>
          </cell>
          <cell r="H1242">
            <v>15000</v>
          </cell>
          <cell r="I1242" t="str">
            <v>bks</v>
          </cell>
          <cell r="J1242">
            <v>14200</v>
          </cell>
          <cell r="K1242" t="str">
            <v>bks</v>
          </cell>
          <cell r="L1242">
            <v>14100</v>
          </cell>
          <cell r="M1242" t="str">
            <v>bks</v>
          </cell>
          <cell r="Q1242">
            <v>140000</v>
          </cell>
          <cell r="R1242">
            <v>10</v>
          </cell>
          <cell r="S1242" t="str">
            <v>slop</v>
          </cell>
          <cell r="W1242">
            <v>13975</v>
          </cell>
          <cell r="X1242" t="str">
            <v>bks</v>
          </cell>
          <cell r="Y1242">
            <v>14000</v>
          </cell>
          <cell r="Z1242" t="str">
            <v>bks</v>
          </cell>
        </row>
        <row r="1243">
          <cell r="A1243" t="str">
            <v>UPMILDH</v>
          </cell>
          <cell r="B1243" t="str">
            <v>R. Up Mild Hitam/Up Revolotion Black</v>
          </cell>
          <cell r="C1243">
            <v>10</v>
          </cell>
          <cell r="D1243" t="str">
            <v>bks</v>
          </cell>
          <cell r="E1243">
            <v>136000</v>
          </cell>
          <cell r="G1243">
            <v>13600</v>
          </cell>
          <cell r="H1243">
            <v>15000</v>
          </cell>
          <cell r="I1243" t="str">
            <v>bks</v>
          </cell>
          <cell r="J1243">
            <v>14000</v>
          </cell>
          <cell r="K1243" t="str">
            <v>bks</v>
          </cell>
          <cell r="L1243">
            <v>13900</v>
          </cell>
          <cell r="M1243" t="str">
            <v>bks</v>
          </cell>
          <cell r="Q1243">
            <v>138000</v>
          </cell>
          <cell r="R1243">
            <v>10</v>
          </cell>
          <cell r="S1243" t="str">
            <v>slop</v>
          </cell>
          <cell r="W1243">
            <v>13775</v>
          </cell>
          <cell r="X1243" t="str">
            <v>bks</v>
          </cell>
          <cell r="Y1243">
            <v>13800</v>
          </cell>
          <cell r="Z1243" t="str">
            <v>bks</v>
          </cell>
        </row>
        <row r="1244">
          <cell r="A1244" t="str">
            <v>UPMILDp</v>
          </cell>
          <cell r="B1244" t="str">
            <v>R. Up Mild Merah/Hijau</v>
          </cell>
          <cell r="C1244">
            <v>10</v>
          </cell>
          <cell r="D1244" t="str">
            <v>bks</v>
          </cell>
          <cell r="E1244">
            <v>136000</v>
          </cell>
          <cell r="G1244">
            <v>13600</v>
          </cell>
          <cell r="H1244">
            <v>15000</v>
          </cell>
          <cell r="I1244" t="str">
            <v>bks</v>
          </cell>
          <cell r="J1244">
            <v>14000</v>
          </cell>
          <cell r="K1244" t="str">
            <v>bks</v>
          </cell>
          <cell r="L1244">
            <v>13900</v>
          </cell>
          <cell r="M1244" t="str">
            <v>bks</v>
          </cell>
          <cell r="Q1244">
            <v>138000</v>
          </cell>
          <cell r="R1244">
            <v>10</v>
          </cell>
          <cell r="S1244" t="str">
            <v>slop</v>
          </cell>
          <cell r="W1244">
            <v>13775</v>
          </cell>
          <cell r="X1244" t="str">
            <v>bks</v>
          </cell>
          <cell r="Y1244">
            <v>13800</v>
          </cell>
          <cell r="Z1244" t="str">
            <v>bks</v>
          </cell>
        </row>
        <row r="1245">
          <cell r="A1245" t="str">
            <v>UPMILDG</v>
          </cell>
          <cell r="B1245" t="str">
            <v>R. Up Mild GRAPE/Nano</v>
          </cell>
          <cell r="C1245">
            <v>10</v>
          </cell>
          <cell r="D1245" t="str">
            <v>bks</v>
          </cell>
          <cell r="E1245">
            <v>136000</v>
          </cell>
          <cell r="G1245">
            <v>13600</v>
          </cell>
          <cell r="H1245">
            <v>15000</v>
          </cell>
          <cell r="I1245" t="str">
            <v>bks</v>
          </cell>
          <cell r="J1245">
            <v>14000</v>
          </cell>
          <cell r="K1245" t="str">
            <v>bks</v>
          </cell>
          <cell r="L1245">
            <v>13900</v>
          </cell>
          <cell r="M1245" t="str">
            <v>bks</v>
          </cell>
          <cell r="Q1245">
            <v>138000</v>
          </cell>
          <cell r="R1245">
            <v>10</v>
          </cell>
          <cell r="S1245" t="str">
            <v>slop</v>
          </cell>
          <cell r="W1245">
            <v>13775</v>
          </cell>
          <cell r="X1245" t="str">
            <v>bks</v>
          </cell>
          <cell r="Y1245">
            <v>13800</v>
          </cell>
          <cell r="Z1245" t="str">
            <v>bks</v>
          </cell>
        </row>
        <row r="1246">
          <cell r="A1246" t="str">
            <v>UPNEXT</v>
          </cell>
          <cell r="B1246" t="str">
            <v>R. Up Next Merah/Hijau</v>
          </cell>
          <cell r="C1246">
            <v>10</v>
          </cell>
          <cell r="D1246" t="str">
            <v xml:space="preserve"> </v>
          </cell>
          <cell r="E1246">
            <v>136000</v>
          </cell>
          <cell r="G1246">
            <v>13600</v>
          </cell>
          <cell r="H1246">
            <v>15000</v>
          </cell>
          <cell r="I1246" t="str">
            <v>bks</v>
          </cell>
          <cell r="J1246">
            <v>14000</v>
          </cell>
          <cell r="K1246" t="str">
            <v>bks</v>
          </cell>
          <cell r="L1246">
            <v>13900</v>
          </cell>
          <cell r="M1246" t="str">
            <v>bks</v>
          </cell>
          <cell r="Q1246">
            <v>138000</v>
          </cell>
          <cell r="R1246">
            <v>10</v>
          </cell>
          <cell r="S1246" t="str">
            <v>slop</v>
          </cell>
          <cell r="W1246">
            <v>13775</v>
          </cell>
          <cell r="X1246" t="str">
            <v>bks</v>
          </cell>
          <cell r="Y1246">
            <v>13800</v>
          </cell>
          <cell r="Z1246" t="str">
            <v>bks</v>
          </cell>
        </row>
        <row r="1247">
          <cell r="A1247" t="str">
            <v>UPMILDC20</v>
          </cell>
          <cell r="B1247" t="str">
            <v>R. Up MILD  CLICK isi 20</v>
          </cell>
          <cell r="C1247">
            <v>10</v>
          </cell>
          <cell r="D1247" t="str">
            <v>bks</v>
          </cell>
          <cell r="E1247">
            <v>169000</v>
          </cell>
          <cell r="G1247">
            <v>16900</v>
          </cell>
          <cell r="H1247">
            <v>18000</v>
          </cell>
          <cell r="I1247" t="str">
            <v>bks</v>
          </cell>
          <cell r="J1247">
            <v>17300</v>
          </cell>
          <cell r="K1247" t="str">
            <v>bks</v>
          </cell>
          <cell r="L1247">
            <v>17200</v>
          </cell>
          <cell r="M1247" t="str">
            <v>bks</v>
          </cell>
          <cell r="Q1247">
            <v>171000</v>
          </cell>
          <cell r="R1247">
            <v>10</v>
          </cell>
          <cell r="S1247" t="str">
            <v>slop</v>
          </cell>
          <cell r="W1247">
            <v>17075</v>
          </cell>
          <cell r="X1247" t="str">
            <v>bks</v>
          </cell>
          <cell r="Y1247">
            <v>17100</v>
          </cell>
          <cell r="Z1247" t="str">
            <v>bks</v>
          </cell>
        </row>
        <row r="1248">
          <cell r="A1248" t="str">
            <v>KERTASO</v>
          </cell>
          <cell r="B1248" t="str">
            <v>Kertas Nasi Bulat</v>
          </cell>
          <cell r="C1248">
            <v>5</v>
          </cell>
          <cell r="D1248" t="str">
            <v>pak</v>
          </cell>
          <cell r="E1248">
            <v>65000</v>
          </cell>
          <cell r="F1248">
            <v>65000</v>
          </cell>
          <cell r="G1248">
            <v>13000</v>
          </cell>
          <cell r="Q1248">
            <v>14500</v>
          </cell>
          <cell r="S1248" t="str">
            <v>pak</v>
          </cell>
        </row>
        <row r="1249">
          <cell r="A1249" t="str">
            <v>KERTASR</v>
          </cell>
          <cell r="B1249" t="str">
            <v>Kertas Rokok</v>
          </cell>
          <cell r="C1249">
            <v>10</v>
          </cell>
          <cell r="D1249" t="str">
            <v>bks</v>
          </cell>
          <cell r="E1249">
            <v>4400</v>
          </cell>
          <cell r="F1249">
            <v>22000</v>
          </cell>
          <cell r="G1249">
            <v>440</v>
          </cell>
          <cell r="H1249">
            <v>1000</v>
          </cell>
          <cell r="I1249" t="str">
            <v>bks</v>
          </cell>
          <cell r="J1249">
            <v>1000</v>
          </cell>
          <cell r="K1249" t="str">
            <v>bks</v>
          </cell>
          <cell r="L1249">
            <v>900</v>
          </cell>
          <cell r="M1249" t="str">
            <v>bks</v>
          </cell>
          <cell r="Q1249">
            <v>7500</v>
          </cell>
          <cell r="R1249">
            <v>10</v>
          </cell>
          <cell r="S1249" t="str">
            <v>pak</v>
          </cell>
          <cell r="W1249">
            <v>700</v>
          </cell>
          <cell r="X1249" t="str">
            <v>bks</v>
          </cell>
          <cell r="Y1249">
            <v>750</v>
          </cell>
          <cell r="Z1249" t="str">
            <v>bks</v>
          </cell>
        </row>
        <row r="1250">
          <cell r="A1250" t="str">
            <v>KUDA</v>
          </cell>
          <cell r="B1250" t="str">
            <v>Tembako Cap Kuda Terbang</v>
          </cell>
          <cell r="C1250">
            <v>20</v>
          </cell>
          <cell r="D1250" t="str">
            <v>bks</v>
          </cell>
          <cell r="E1250">
            <v>75000</v>
          </cell>
          <cell r="F1250">
            <v>45000</v>
          </cell>
          <cell r="G1250">
            <v>3750</v>
          </cell>
          <cell r="H1250">
            <v>5000</v>
          </cell>
          <cell r="I1250" t="str">
            <v>bks</v>
          </cell>
          <cell r="J1250">
            <v>5000</v>
          </cell>
          <cell r="K1250" t="str">
            <v>bks</v>
          </cell>
          <cell r="L1250">
            <v>4300</v>
          </cell>
          <cell r="M1250" t="str">
            <v>bks</v>
          </cell>
          <cell r="T1250">
            <v>48000</v>
          </cell>
          <cell r="U1250">
            <v>12</v>
          </cell>
          <cell r="V1250" t="str">
            <v>lsn</v>
          </cell>
          <cell r="W1250">
            <v>3900</v>
          </cell>
          <cell r="X1250" t="str">
            <v>bks</v>
          </cell>
          <cell r="Y1250">
            <v>4000</v>
          </cell>
          <cell r="Z1250" t="str">
            <v>bks</v>
          </cell>
          <cell r="AA1250">
            <v>78000</v>
          </cell>
          <cell r="AB1250" t="str">
            <v>dos</v>
          </cell>
        </row>
        <row r="1251">
          <cell r="A1251" t="str">
            <v>TEMBAKO</v>
          </cell>
          <cell r="B1251" t="str">
            <v>Tembako Curah</v>
          </cell>
          <cell r="C1251">
            <v>50</v>
          </cell>
          <cell r="D1251" t="str">
            <v>bks</v>
          </cell>
          <cell r="E1251">
            <v>132000</v>
          </cell>
          <cell r="F1251">
            <v>31680</v>
          </cell>
          <cell r="G1251">
            <v>2640</v>
          </cell>
          <cell r="H1251">
            <v>5500</v>
          </cell>
          <cell r="I1251" t="str">
            <v>bks</v>
          </cell>
          <cell r="J1251" t="str">
            <v xml:space="preserve"> </v>
          </cell>
          <cell r="K1251" t="str">
            <v>bks</v>
          </cell>
          <cell r="L1251">
            <v>4500</v>
          </cell>
          <cell r="M1251" t="str">
            <v>bks</v>
          </cell>
          <cell r="T1251">
            <v>42000</v>
          </cell>
          <cell r="U1251">
            <v>12</v>
          </cell>
          <cell r="V1251" t="str">
            <v>lsn</v>
          </cell>
          <cell r="W1251">
            <v>3400</v>
          </cell>
          <cell r="X1251" t="str">
            <v>bks</v>
          </cell>
          <cell r="Y1251">
            <v>3500</v>
          </cell>
          <cell r="Z1251" t="str">
            <v>bks</v>
          </cell>
        </row>
        <row r="1252">
          <cell r="A1252" t="str">
            <v>LEM</v>
          </cell>
          <cell r="B1252" t="str">
            <v>Lem Kertas</v>
          </cell>
          <cell r="C1252">
            <v>12</v>
          </cell>
          <cell r="D1252" t="str">
            <v>pcs</v>
          </cell>
          <cell r="E1252">
            <v>29700</v>
          </cell>
          <cell r="F1252">
            <v>29700</v>
          </cell>
          <cell r="G1252">
            <v>2475</v>
          </cell>
          <cell r="H1252">
            <v>3500</v>
          </cell>
          <cell r="I1252" t="str">
            <v>bks</v>
          </cell>
          <cell r="J1252">
            <v>3500</v>
          </cell>
          <cell r="K1252" t="str">
            <v>bks</v>
          </cell>
          <cell r="L1252">
            <v>3200</v>
          </cell>
          <cell r="M1252" t="str">
            <v>bks</v>
          </cell>
          <cell r="T1252">
            <v>35000</v>
          </cell>
          <cell r="U1252">
            <v>12</v>
          </cell>
          <cell r="V1252" t="str">
            <v>lsn</v>
          </cell>
          <cell r="W1252">
            <v>2900</v>
          </cell>
          <cell r="X1252" t="str">
            <v>bks</v>
          </cell>
          <cell r="Y1252">
            <v>2916.6666666666665</v>
          </cell>
          <cell r="Z1252" t="str">
            <v>bks</v>
          </cell>
        </row>
        <row r="1253">
          <cell r="A1253" t="str">
            <v>Cengkeh</v>
          </cell>
          <cell r="B1253" t="str">
            <v>Cengkeh</v>
          </cell>
          <cell r="C1253">
            <v>32</v>
          </cell>
          <cell r="D1253" t="str">
            <v>bks</v>
          </cell>
          <cell r="E1253">
            <v>14000</v>
          </cell>
          <cell r="F1253">
            <v>5250</v>
          </cell>
          <cell r="G1253">
            <v>437.5</v>
          </cell>
          <cell r="H1253">
            <v>1000</v>
          </cell>
          <cell r="I1253" t="str">
            <v>bks</v>
          </cell>
          <cell r="J1253">
            <v>1000</v>
          </cell>
          <cell r="K1253" t="str">
            <v>bks</v>
          </cell>
          <cell r="L1253">
            <v>750</v>
          </cell>
          <cell r="M1253" t="str">
            <v>bks</v>
          </cell>
          <cell r="T1253">
            <v>7500</v>
          </cell>
          <cell r="U1253">
            <v>12</v>
          </cell>
          <cell r="V1253" t="str">
            <v>lsn</v>
          </cell>
          <cell r="W1253">
            <v>600</v>
          </cell>
          <cell r="X1253" t="str">
            <v>bks</v>
          </cell>
          <cell r="Y1253">
            <v>625</v>
          </cell>
          <cell r="Z1253" t="str">
            <v>bks</v>
          </cell>
        </row>
        <row r="1254">
          <cell r="A1254" t="str">
            <v>TETRACLOR</v>
          </cell>
          <cell r="B1254" t="str">
            <v>RA. Tetrachlor</v>
          </cell>
          <cell r="C1254">
            <v>50</v>
          </cell>
          <cell r="D1254" t="str">
            <v>pcs</v>
          </cell>
          <cell r="E1254">
            <v>80000</v>
          </cell>
          <cell r="F1254">
            <v>19200</v>
          </cell>
          <cell r="G1254">
            <v>1600</v>
          </cell>
          <cell r="H1254">
            <v>2500</v>
          </cell>
          <cell r="I1254" t="str">
            <v>pc</v>
          </cell>
          <cell r="J1254">
            <v>2500</v>
          </cell>
          <cell r="K1254" t="str">
            <v>pc</v>
          </cell>
          <cell r="L1254">
            <v>2000</v>
          </cell>
          <cell r="M1254" t="str">
            <v>pc</v>
          </cell>
          <cell r="Q1254">
            <v>85000</v>
          </cell>
          <cell r="R1254">
            <v>30</v>
          </cell>
          <cell r="S1254" t="str">
            <v>ktk</v>
          </cell>
          <cell r="T1254">
            <v>22000</v>
          </cell>
          <cell r="U1254">
            <v>12</v>
          </cell>
          <cell r="V1254" t="str">
            <v>lsn</v>
          </cell>
          <cell r="W1254">
            <v>1800</v>
          </cell>
          <cell r="X1254" t="str">
            <v>pc</v>
          </cell>
          <cell r="Y1254">
            <v>1833.3333333333333</v>
          </cell>
          <cell r="Z1254" t="str">
            <v>pcs</v>
          </cell>
          <cell r="AA1254">
            <v>85000</v>
          </cell>
          <cell r="AB1254" t="str">
            <v>ktk</v>
          </cell>
        </row>
        <row r="1255">
          <cell r="A1255" t="str">
            <v>VITACIK</v>
          </cell>
          <cell r="B1255" t="str">
            <v>RA. Vitacik 10 gr</v>
          </cell>
          <cell r="C1255">
            <v>40</v>
          </cell>
          <cell r="D1255" t="str">
            <v>pcs</v>
          </cell>
          <cell r="E1255">
            <v>30000</v>
          </cell>
          <cell r="F1255">
            <v>9000</v>
          </cell>
          <cell r="G1255">
            <v>750</v>
          </cell>
          <cell r="H1255">
            <v>1500</v>
          </cell>
          <cell r="I1255" t="str">
            <v>pc</v>
          </cell>
          <cell r="J1255">
            <v>1500</v>
          </cell>
          <cell r="K1255" t="str">
            <v>pc</v>
          </cell>
          <cell r="L1255">
            <v>1000</v>
          </cell>
          <cell r="M1255" t="str">
            <v>pc</v>
          </cell>
          <cell r="T1255">
            <v>10000</v>
          </cell>
          <cell r="U1255">
            <v>12</v>
          </cell>
          <cell r="V1255" t="str">
            <v>lsn</v>
          </cell>
          <cell r="W1255">
            <v>900</v>
          </cell>
          <cell r="X1255" t="str">
            <v>pc</v>
          </cell>
          <cell r="AA1255">
            <v>28000</v>
          </cell>
          <cell r="AB1255" t="str">
            <v>ktk</v>
          </cell>
        </row>
        <row r="1256">
          <cell r="A1256" t="str">
            <v>RAPIKA250B</v>
          </cell>
          <cell r="B1256" t="str">
            <v>Rapika 250 Botol</v>
          </cell>
          <cell r="C1256">
            <v>12</v>
          </cell>
          <cell r="D1256" t="str">
            <v>pcs</v>
          </cell>
          <cell r="E1256">
            <v>89400</v>
          </cell>
          <cell r="G1256">
            <v>7450</v>
          </cell>
          <cell r="H1256">
            <v>8500</v>
          </cell>
          <cell r="I1256" t="str">
            <v>pc</v>
          </cell>
          <cell r="J1256">
            <v>8300</v>
          </cell>
          <cell r="K1256" t="str">
            <v>pc</v>
          </cell>
          <cell r="L1256">
            <v>8000</v>
          </cell>
          <cell r="M1256" t="str">
            <v>pc</v>
          </cell>
          <cell r="T1256">
            <v>93000</v>
          </cell>
          <cell r="U1256">
            <v>12</v>
          </cell>
          <cell r="V1256" t="str">
            <v>lsn</v>
          </cell>
          <cell r="W1256">
            <v>7700</v>
          </cell>
          <cell r="X1256" t="str">
            <v>pc</v>
          </cell>
          <cell r="Y1256">
            <v>7800</v>
          </cell>
          <cell r="Z1256" t="str">
            <v>pc</v>
          </cell>
        </row>
        <row r="1257">
          <cell r="A1257" t="str">
            <v>RAPIKA250R</v>
          </cell>
          <cell r="B1257" t="str">
            <v>Rapika 250 Refill</v>
          </cell>
          <cell r="C1257">
            <v>12</v>
          </cell>
          <cell r="D1257" t="str">
            <v>pcs</v>
          </cell>
          <cell r="E1257">
            <v>36240</v>
          </cell>
          <cell r="G1257">
            <v>3020</v>
          </cell>
          <cell r="H1257">
            <v>4000</v>
          </cell>
          <cell r="I1257" t="str">
            <v>pc</v>
          </cell>
          <cell r="J1257">
            <v>4000</v>
          </cell>
          <cell r="K1257" t="str">
            <v>pc</v>
          </cell>
          <cell r="L1257">
            <v>3700</v>
          </cell>
          <cell r="M1257" t="str">
            <v>pc</v>
          </cell>
          <cell r="T1257">
            <v>39500</v>
          </cell>
          <cell r="U1257">
            <v>12</v>
          </cell>
          <cell r="V1257" t="str">
            <v>lsn</v>
          </cell>
          <cell r="W1257">
            <v>3300</v>
          </cell>
          <cell r="X1257" t="str">
            <v>pc</v>
          </cell>
          <cell r="Y1257">
            <v>3400</v>
          </cell>
          <cell r="Z1257" t="str">
            <v>pc</v>
          </cell>
        </row>
        <row r="1258">
          <cell r="A1258" t="str">
            <v>RAPIKA450</v>
          </cell>
          <cell r="B1258" t="str">
            <v>Rapika 450 botol</v>
          </cell>
          <cell r="C1258">
            <v>12</v>
          </cell>
          <cell r="D1258" t="str">
            <v>pcs</v>
          </cell>
          <cell r="E1258">
            <v>123600</v>
          </cell>
          <cell r="G1258">
            <v>10300</v>
          </cell>
          <cell r="H1258">
            <v>12000</v>
          </cell>
          <cell r="I1258" t="str">
            <v>pc</v>
          </cell>
          <cell r="J1258">
            <v>11500</v>
          </cell>
          <cell r="K1258" t="str">
            <v>pc</v>
          </cell>
          <cell r="L1258">
            <v>10900</v>
          </cell>
          <cell r="M1258" t="str">
            <v>pc</v>
          </cell>
          <cell r="T1258">
            <v>126500</v>
          </cell>
          <cell r="U1258">
            <v>12</v>
          </cell>
          <cell r="V1258" t="str">
            <v>lsn</v>
          </cell>
          <cell r="W1258">
            <v>10500</v>
          </cell>
          <cell r="X1258" t="str">
            <v>pc</v>
          </cell>
          <cell r="Y1258">
            <v>10541.666666666666</v>
          </cell>
          <cell r="Z1258" t="str">
            <v>pc</v>
          </cell>
        </row>
        <row r="1259">
          <cell r="A1259" t="str">
            <v>RAPIKA400</v>
          </cell>
          <cell r="B1259" t="str">
            <v>Rapika 400 reff</v>
          </cell>
          <cell r="C1259">
            <v>12</v>
          </cell>
          <cell r="D1259" t="str">
            <v>pcs</v>
          </cell>
          <cell r="E1259">
            <v>53820</v>
          </cell>
          <cell r="G1259">
            <v>4485</v>
          </cell>
          <cell r="H1259">
            <v>6000</v>
          </cell>
          <cell r="I1259" t="str">
            <v>pc</v>
          </cell>
          <cell r="J1259">
            <v>5500</v>
          </cell>
          <cell r="K1259" t="str">
            <v>pc</v>
          </cell>
          <cell r="L1259">
            <v>5500</v>
          </cell>
          <cell r="M1259" t="str">
            <v>pc</v>
          </cell>
        </row>
        <row r="1260">
          <cell r="A1260" t="str">
            <v>RAPIKAR</v>
          </cell>
          <cell r="B1260" t="str">
            <v>Rapika renteng</v>
          </cell>
          <cell r="C1260">
            <v>12</v>
          </cell>
          <cell r="D1260" t="str">
            <v>rtg</v>
          </cell>
          <cell r="E1260">
            <v>4437.5</v>
          </cell>
          <cell r="F1260">
            <v>26625</v>
          </cell>
          <cell r="G1260">
            <v>369.79166666666669</v>
          </cell>
          <cell r="H1260">
            <v>500</v>
          </cell>
          <cell r="I1260" t="str">
            <v>pc</v>
          </cell>
          <cell r="J1260">
            <v>500</v>
          </cell>
          <cell r="K1260" t="str">
            <v>pc</v>
          </cell>
          <cell r="L1260">
            <v>500</v>
          </cell>
          <cell r="M1260" t="str">
            <v>pc</v>
          </cell>
          <cell r="N1260">
            <v>5500</v>
          </cell>
          <cell r="O1260">
            <v>12</v>
          </cell>
          <cell r="P1260" t="str">
            <v>rtg</v>
          </cell>
          <cell r="W1260">
            <v>450</v>
          </cell>
          <cell r="X1260" t="str">
            <v>pc</v>
          </cell>
          <cell r="Y1260">
            <v>458.33333333333331</v>
          </cell>
          <cell r="Z1260" t="str">
            <v>pc</v>
          </cell>
        </row>
        <row r="1261">
          <cell r="A1261" t="str">
            <v>REXONA1</v>
          </cell>
          <cell r="B1261" t="str">
            <v>Rexona Lotion rtg Pria/Wanita</v>
          </cell>
          <cell r="C1261">
            <v>12</v>
          </cell>
          <cell r="D1261" t="str">
            <v>rtg</v>
          </cell>
          <cell r="E1261">
            <v>21600</v>
          </cell>
          <cell r="F1261">
            <v>259200</v>
          </cell>
          <cell r="G1261">
            <v>1800</v>
          </cell>
          <cell r="H1261">
            <v>2500</v>
          </cell>
          <cell r="I1261" t="str">
            <v>pc</v>
          </cell>
          <cell r="J1261">
            <v>2500</v>
          </cell>
          <cell r="K1261" t="str">
            <v>pc</v>
          </cell>
          <cell r="L1261">
            <v>2300</v>
          </cell>
          <cell r="M1261" t="str">
            <v>pc</v>
          </cell>
          <cell r="N1261">
            <v>24000</v>
          </cell>
          <cell r="O1261">
            <v>12</v>
          </cell>
          <cell r="P1261" t="str">
            <v>rtg</v>
          </cell>
          <cell r="X1261" t="str">
            <v>pc</v>
          </cell>
          <cell r="Y1261">
            <v>2000</v>
          </cell>
          <cell r="Z1261" t="str">
            <v>pc</v>
          </cell>
        </row>
        <row r="1262">
          <cell r="A1262" t="str">
            <v>REXONA50</v>
          </cell>
          <cell r="B1262" t="str">
            <v>Rexona Roll On 50 ml Pria/Wanita</v>
          </cell>
          <cell r="C1262">
            <v>24</v>
          </cell>
          <cell r="D1262" t="str">
            <v>pcs</v>
          </cell>
          <cell r="E1262">
            <v>357600</v>
          </cell>
          <cell r="F1262">
            <v>178800</v>
          </cell>
          <cell r="G1262">
            <v>14900</v>
          </cell>
          <cell r="H1262">
            <v>16500</v>
          </cell>
          <cell r="I1262" t="str">
            <v>pc</v>
          </cell>
          <cell r="J1262">
            <v>16500</v>
          </cell>
          <cell r="K1262" t="str">
            <v>pc</v>
          </cell>
          <cell r="L1262">
            <v>16000</v>
          </cell>
          <cell r="M1262" t="str">
            <v>pc</v>
          </cell>
        </row>
        <row r="1263">
          <cell r="A1263" t="str">
            <v>REXONA150</v>
          </cell>
          <cell r="B1263" t="str">
            <v>Rexona Smprot 150 ml</v>
          </cell>
          <cell r="C1263">
            <v>12</v>
          </cell>
          <cell r="D1263" t="str">
            <v>pcs</v>
          </cell>
          <cell r="E1263">
            <v>342000</v>
          </cell>
          <cell r="G1263">
            <v>28500</v>
          </cell>
          <cell r="H1263">
            <v>31000</v>
          </cell>
          <cell r="I1263" t="str">
            <v>pc</v>
          </cell>
          <cell r="J1263">
            <v>30000</v>
          </cell>
          <cell r="K1263" t="str">
            <v>pc</v>
          </cell>
          <cell r="L1263">
            <v>29500</v>
          </cell>
          <cell r="M1263" t="str">
            <v>pc</v>
          </cell>
          <cell r="T1263">
            <v>345000</v>
          </cell>
          <cell r="U1263">
            <v>12</v>
          </cell>
          <cell r="V1263" t="str">
            <v>lsn</v>
          </cell>
        </row>
        <row r="1264">
          <cell r="A1264" t="str">
            <v>ROTI2000</v>
          </cell>
          <cell r="B1264" t="str">
            <v>Roti 2000</v>
          </cell>
          <cell r="C1264">
            <v>1</v>
          </cell>
          <cell r="D1264" t="str">
            <v>bks</v>
          </cell>
          <cell r="E1264">
            <v>1750</v>
          </cell>
          <cell r="G1264">
            <v>1750</v>
          </cell>
          <cell r="H1264">
            <v>2000</v>
          </cell>
          <cell r="I1264" t="str">
            <v>pc</v>
          </cell>
          <cell r="J1264">
            <v>2000</v>
          </cell>
          <cell r="K1264" t="str">
            <v>pc</v>
          </cell>
          <cell r="L1264">
            <v>2000</v>
          </cell>
          <cell r="M1264" t="str">
            <v>pc</v>
          </cell>
        </row>
        <row r="1265">
          <cell r="A1265" t="str">
            <v>ROTI4000</v>
          </cell>
          <cell r="B1265" t="str">
            <v>Roti 4000</v>
          </cell>
          <cell r="C1265">
            <v>1</v>
          </cell>
          <cell r="D1265" t="str">
            <v>bks</v>
          </cell>
          <cell r="E1265">
            <v>3500</v>
          </cell>
          <cell r="G1265">
            <v>3500</v>
          </cell>
          <cell r="H1265">
            <v>4000</v>
          </cell>
          <cell r="I1265" t="str">
            <v>pc</v>
          </cell>
          <cell r="J1265">
            <v>4000</v>
          </cell>
          <cell r="K1265" t="str">
            <v>pc</v>
          </cell>
          <cell r="L1265">
            <v>4000</v>
          </cell>
          <cell r="M1265" t="str">
            <v>pc</v>
          </cell>
        </row>
        <row r="1266">
          <cell r="A1266" t="str">
            <v>GEPENG</v>
          </cell>
          <cell r="B1266" t="str">
            <v>Roti GEPENG</v>
          </cell>
          <cell r="C1266">
            <v>1</v>
          </cell>
          <cell r="D1266" t="str">
            <v>bks</v>
          </cell>
          <cell r="E1266">
            <v>800</v>
          </cell>
          <cell r="G1266">
            <v>800</v>
          </cell>
          <cell r="H1266">
            <v>1000</v>
          </cell>
          <cell r="I1266" t="str">
            <v>pc</v>
          </cell>
          <cell r="J1266">
            <v>1000</v>
          </cell>
          <cell r="K1266" t="str">
            <v>pc</v>
          </cell>
          <cell r="L1266">
            <v>1000</v>
          </cell>
          <cell r="M1266" t="str">
            <v>pc</v>
          </cell>
        </row>
        <row r="1267">
          <cell r="A1267" t="str">
            <v>ROYCO100</v>
          </cell>
          <cell r="B1267" t="str">
            <v>Royco  Ayam/Ebi/Sapi 100 gr</v>
          </cell>
          <cell r="C1267">
            <v>36</v>
          </cell>
          <cell r="D1267" t="str">
            <v>bks</v>
          </cell>
          <cell r="E1267">
            <v>154800</v>
          </cell>
          <cell r="F1267">
            <v>51600</v>
          </cell>
          <cell r="G1267">
            <v>4300</v>
          </cell>
          <cell r="H1267">
            <v>5500</v>
          </cell>
          <cell r="I1267" t="str">
            <v>pc</v>
          </cell>
          <cell r="J1267">
            <v>5000</v>
          </cell>
          <cell r="K1267" t="str">
            <v>pc</v>
          </cell>
          <cell r="L1267">
            <v>4900</v>
          </cell>
          <cell r="M1267" t="str">
            <v>bks</v>
          </cell>
          <cell r="T1267">
            <v>54500</v>
          </cell>
          <cell r="U1267">
            <v>12</v>
          </cell>
          <cell r="V1267" t="str">
            <v>lsn</v>
          </cell>
          <cell r="W1267">
            <v>4600</v>
          </cell>
          <cell r="X1267" t="str">
            <v>pc</v>
          </cell>
          <cell r="Y1267">
            <v>4700</v>
          </cell>
          <cell r="Z1267" t="str">
            <v>pc</v>
          </cell>
        </row>
        <row r="1268">
          <cell r="A1268" t="str">
            <v>ROYCO230</v>
          </cell>
          <cell r="B1268" t="str">
            <v>Royco  Ayam/Ebi/Sapi 230 gr</v>
          </cell>
          <cell r="C1268">
            <v>12</v>
          </cell>
          <cell r="D1268" t="str">
            <v>bks</v>
          </cell>
          <cell r="E1268">
            <v>102000</v>
          </cell>
          <cell r="G1268">
            <v>8500</v>
          </cell>
          <cell r="H1268">
            <v>9500</v>
          </cell>
          <cell r="I1268" t="str">
            <v>pc</v>
          </cell>
          <cell r="J1268">
            <v>9000</v>
          </cell>
          <cell r="K1268" t="str">
            <v>pc</v>
          </cell>
          <cell r="L1268">
            <v>9000</v>
          </cell>
          <cell r="M1268" t="str">
            <v>bks</v>
          </cell>
        </row>
        <row r="1269">
          <cell r="A1269" t="str">
            <v>ROYCOR</v>
          </cell>
          <cell r="B1269" t="str">
            <v>Royco  Ayam/Ebi/Sapi RENTENG</v>
          </cell>
          <cell r="C1269">
            <v>12</v>
          </cell>
          <cell r="D1269" t="str">
            <v>rtg</v>
          </cell>
          <cell r="E1269">
            <v>4541.666666666667</v>
          </cell>
          <cell r="F1269">
            <v>218000</v>
          </cell>
          <cell r="G1269">
            <v>378.47222222222223</v>
          </cell>
          <cell r="H1269">
            <v>500</v>
          </cell>
          <cell r="I1269" t="str">
            <v>pc</v>
          </cell>
          <cell r="J1269">
            <v>500</v>
          </cell>
          <cell r="K1269" t="str">
            <v>pc</v>
          </cell>
          <cell r="L1269">
            <v>500</v>
          </cell>
          <cell r="M1269" t="str">
            <v>pc</v>
          </cell>
          <cell r="N1269">
            <v>5000</v>
          </cell>
          <cell r="O1269">
            <v>12</v>
          </cell>
          <cell r="P1269" t="str">
            <v>rtg</v>
          </cell>
        </row>
        <row r="1270">
          <cell r="A1270" t="str">
            <v>ROYCOS</v>
          </cell>
          <cell r="B1270" t="str">
            <v>Royco Sayur/Nasi Goreng/Ikan &amp; Ayam Goreng</v>
          </cell>
          <cell r="C1270">
            <v>6</v>
          </cell>
          <cell r="D1270" t="str">
            <v>rtg</v>
          </cell>
          <cell r="E1270">
            <v>7500.0062500000004</v>
          </cell>
          <cell r="F1270">
            <v>120000.1</v>
          </cell>
          <cell r="G1270">
            <v>1250.0010416666667</v>
          </cell>
          <cell r="H1270">
            <v>2000</v>
          </cell>
          <cell r="I1270" t="str">
            <v>pc</v>
          </cell>
          <cell r="J1270">
            <v>2000</v>
          </cell>
          <cell r="K1270" t="str">
            <v>pc</v>
          </cell>
          <cell r="L1270">
            <v>2000</v>
          </cell>
          <cell r="M1270" t="str">
            <v>pc</v>
          </cell>
          <cell r="N1270">
            <v>9000</v>
          </cell>
          <cell r="O1270">
            <v>6</v>
          </cell>
          <cell r="P1270" t="str">
            <v>rtg</v>
          </cell>
          <cell r="AA1270">
            <v>123000</v>
          </cell>
          <cell r="AB1270" t="str">
            <v>dos</v>
          </cell>
        </row>
        <row r="1271">
          <cell r="A1271" t="str">
            <v>CIF250B</v>
          </cell>
          <cell r="B1271" t="str">
            <v>Sabun CIF 250 ml btl</v>
          </cell>
          <cell r="C1271">
            <v>6</v>
          </cell>
          <cell r="D1271" t="str">
            <v>btl</v>
          </cell>
          <cell r="E1271">
            <v>40201</v>
          </cell>
          <cell r="F1271">
            <v>80402</v>
          </cell>
          <cell r="G1271">
            <v>6700.166666666667</v>
          </cell>
        </row>
        <row r="1272">
          <cell r="A1272" t="str">
            <v>CIF250</v>
          </cell>
          <cell r="B1272" t="str">
            <v>Sabun CIF 250 ml btl</v>
          </cell>
          <cell r="C1272">
            <v>4</v>
          </cell>
          <cell r="D1272" t="str">
            <v>pak</v>
          </cell>
          <cell r="E1272">
            <v>11592.592592592593</v>
          </cell>
          <cell r="F1272">
            <v>313000</v>
          </cell>
          <cell r="G1272">
            <v>2898.1481481481483</v>
          </cell>
        </row>
        <row r="1273">
          <cell r="A1273" t="str">
            <v>FRESB</v>
          </cell>
          <cell r="B1273" t="str">
            <v>Sabun FRES Batang 70 GR</v>
          </cell>
          <cell r="C1273">
            <v>72</v>
          </cell>
          <cell r="D1273" t="str">
            <v>pcs</v>
          </cell>
          <cell r="E1273">
            <v>102600</v>
          </cell>
          <cell r="F1273">
            <v>17100</v>
          </cell>
          <cell r="G1273">
            <v>1425</v>
          </cell>
          <cell r="H1273">
            <v>2000</v>
          </cell>
          <cell r="I1273" t="str">
            <v>pc</v>
          </cell>
          <cell r="J1273">
            <v>2000</v>
          </cell>
          <cell r="K1273" t="str">
            <v>pc</v>
          </cell>
          <cell r="L1273">
            <v>1900</v>
          </cell>
          <cell r="M1273" t="str">
            <v>pc</v>
          </cell>
          <cell r="T1273">
            <v>22500</v>
          </cell>
          <cell r="U1273">
            <v>12</v>
          </cell>
          <cell r="V1273" t="str">
            <v>lsn</v>
          </cell>
          <cell r="W1273">
            <v>1800</v>
          </cell>
          <cell r="X1273" t="str">
            <v>pc</v>
          </cell>
          <cell r="Y1273">
            <v>1875</v>
          </cell>
          <cell r="Z1273" t="str">
            <v>pc</v>
          </cell>
        </row>
        <row r="1274">
          <cell r="A1274" t="str">
            <v>GIVB</v>
          </cell>
          <cell r="B1274" t="str">
            <v>Sabun Giv Batang</v>
          </cell>
          <cell r="C1274">
            <v>72</v>
          </cell>
          <cell r="D1274" t="str">
            <v>pcs</v>
          </cell>
          <cell r="E1274">
            <v>123336</v>
          </cell>
          <cell r="F1274">
            <v>20556</v>
          </cell>
          <cell r="G1274">
            <v>1713</v>
          </cell>
          <cell r="H1274">
            <v>2500</v>
          </cell>
          <cell r="I1274" t="str">
            <v>pc</v>
          </cell>
          <cell r="J1274">
            <v>2500</v>
          </cell>
          <cell r="K1274" t="str">
            <v>pc</v>
          </cell>
          <cell r="L1274">
            <v>2300</v>
          </cell>
          <cell r="M1274" t="str">
            <v>pc</v>
          </cell>
          <cell r="T1274">
            <v>24000</v>
          </cell>
          <cell r="U1274">
            <v>12</v>
          </cell>
          <cell r="V1274" t="str">
            <v>lsn</v>
          </cell>
          <cell r="Y1274">
            <v>2000</v>
          </cell>
          <cell r="Z1274" t="str">
            <v>pc</v>
          </cell>
        </row>
        <row r="1275">
          <cell r="A1275" t="str">
            <v>GIV65</v>
          </cell>
          <cell r="B1275" t="str">
            <v>Sabun Giv Cair 65 ml</v>
          </cell>
          <cell r="C1275">
            <v>48</v>
          </cell>
          <cell r="D1275" t="str">
            <v>pcs</v>
          </cell>
          <cell r="E1275">
            <v>85200</v>
          </cell>
          <cell r="F1275">
            <v>21300</v>
          </cell>
          <cell r="G1275">
            <v>1775</v>
          </cell>
          <cell r="H1275">
            <v>3500</v>
          </cell>
          <cell r="I1275" t="str">
            <v>pc</v>
          </cell>
          <cell r="J1275">
            <v>3000</v>
          </cell>
          <cell r="K1275" t="str">
            <v>pc</v>
          </cell>
          <cell r="L1275">
            <v>2300</v>
          </cell>
          <cell r="M1275" t="str">
            <v>pc</v>
          </cell>
          <cell r="T1275">
            <v>25000</v>
          </cell>
          <cell r="U1275">
            <v>12</v>
          </cell>
          <cell r="V1275" t="str">
            <v>lsn</v>
          </cell>
          <cell r="W1275">
            <v>2000</v>
          </cell>
          <cell r="X1275" t="str">
            <v>pc</v>
          </cell>
          <cell r="Y1275">
            <v>2083.3333333333335</v>
          </cell>
          <cell r="Z1275" t="str">
            <v>pc</v>
          </cell>
        </row>
        <row r="1276">
          <cell r="A1276" t="str">
            <v>GIV250</v>
          </cell>
          <cell r="B1276" t="str">
            <v>Sabun Giv Cair 250 ml</v>
          </cell>
          <cell r="C1276">
            <v>12</v>
          </cell>
          <cell r="D1276" t="str">
            <v>pcs</v>
          </cell>
          <cell r="E1276">
            <v>116400</v>
          </cell>
          <cell r="F1276">
            <v>116400</v>
          </cell>
          <cell r="G1276">
            <v>9700</v>
          </cell>
          <cell r="H1276">
            <v>11000</v>
          </cell>
          <cell r="I1276" t="str">
            <v>pc</v>
          </cell>
          <cell r="J1276">
            <v>10700</v>
          </cell>
          <cell r="K1276" t="str">
            <v>pc</v>
          </cell>
          <cell r="L1276">
            <v>10300</v>
          </cell>
          <cell r="M1276" t="str">
            <v>pc</v>
          </cell>
          <cell r="T1276">
            <v>120000</v>
          </cell>
          <cell r="U1276">
            <v>12</v>
          </cell>
          <cell r="V1276" t="str">
            <v>lsn</v>
          </cell>
          <cell r="W1276">
            <v>9950</v>
          </cell>
          <cell r="X1276" t="str">
            <v>pc</v>
          </cell>
          <cell r="Y1276">
            <v>10000</v>
          </cell>
          <cell r="Z1276" t="str">
            <v>pc</v>
          </cell>
        </row>
        <row r="1277">
          <cell r="A1277" t="str">
            <v>GIV450</v>
          </cell>
          <cell r="B1277" t="str">
            <v>Sabun Giv Cair 450 ml</v>
          </cell>
          <cell r="C1277">
            <v>12</v>
          </cell>
          <cell r="D1277" t="str">
            <v>pcs</v>
          </cell>
          <cell r="E1277">
            <v>229800</v>
          </cell>
          <cell r="G1277">
            <v>19150</v>
          </cell>
          <cell r="H1277">
            <v>20000</v>
          </cell>
          <cell r="I1277" t="str">
            <v>pc</v>
          </cell>
          <cell r="J1277">
            <v>19500</v>
          </cell>
          <cell r="K1277" t="str">
            <v>pc</v>
          </cell>
          <cell r="L1277">
            <v>19000</v>
          </cell>
          <cell r="M1277" t="str">
            <v>pc</v>
          </cell>
        </row>
        <row r="1278">
          <cell r="A1278" t="str">
            <v>NUVO110</v>
          </cell>
          <cell r="B1278" t="str">
            <v>Sabun Nuvo ACTIV Batang 110 gr</v>
          </cell>
          <cell r="C1278">
            <v>12</v>
          </cell>
          <cell r="D1278" t="str">
            <v>btg</v>
          </cell>
          <cell r="E1278">
            <v>31200</v>
          </cell>
          <cell r="F1278">
            <v>31200</v>
          </cell>
          <cell r="G1278">
            <v>2600</v>
          </cell>
          <cell r="H1278">
            <v>3500</v>
          </cell>
          <cell r="I1278" t="str">
            <v>pc</v>
          </cell>
          <cell r="J1278">
            <v>3500</v>
          </cell>
          <cell r="K1278" t="str">
            <v>pc</v>
          </cell>
          <cell r="L1278">
            <v>3000</v>
          </cell>
          <cell r="M1278" t="str">
            <v>pc</v>
          </cell>
          <cell r="T1278">
            <v>34000</v>
          </cell>
          <cell r="U1278">
            <v>12</v>
          </cell>
          <cell r="V1278" t="str">
            <v>lsn</v>
          </cell>
          <cell r="W1278">
            <v>2800</v>
          </cell>
          <cell r="X1278" t="str">
            <v>pc</v>
          </cell>
          <cell r="Y1278">
            <v>2900</v>
          </cell>
          <cell r="Z1278" t="str">
            <v>pc</v>
          </cell>
        </row>
        <row r="1279">
          <cell r="A1279" t="str">
            <v>NUVO76</v>
          </cell>
          <cell r="B1279" t="str">
            <v>Sabun Nuvo Batang 76 gr</v>
          </cell>
          <cell r="C1279">
            <v>72</v>
          </cell>
          <cell r="D1279" t="str">
            <v>btg</v>
          </cell>
          <cell r="E1279">
            <v>126000</v>
          </cell>
          <cell r="F1279">
            <v>21000</v>
          </cell>
          <cell r="G1279">
            <v>1750</v>
          </cell>
          <cell r="H1279">
            <v>2500</v>
          </cell>
          <cell r="I1279" t="str">
            <v>pc</v>
          </cell>
          <cell r="J1279">
            <v>2500</v>
          </cell>
          <cell r="K1279" t="str">
            <v>pc</v>
          </cell>
          <cell r="L1279">
            <v>2000</v>
          </cell>
          <cell r="M1279" t="str">
            <v>pc</v>
          </cell>
          <cell r="T1279">
            <v>23000</v>
          </cell>
          <cell r="U1279">
            <v>12</v>
          </cell>
          <cell r="V1279" t="str">
            <v>lsn</v>
          </cell>
          <cell r="W1279">
            <v>1900</v>
          </cell>
          <cell r="X1279" t="str">
            <v>pc</v>
          </cell>
          <cell r="Y1279">
            <v>1916.6666666666667</v>
          </cell>
          <cell r="Z1279" t="str">
            <v>pc</v>
          </cell>
        </row>
        <row r="1280">
          <cell r="A1280" t="str">
            <v>NUVO65</v>
          </cell>
          <cell r="B1280" t="str">
            <v>Sabun Nuvo 65 ml</v>
          </cell>
          <cell r="C1280">
            <v>12</v>
          </cell>
          <cell r="D1280" t="str">
            <v>pcs</v>
          </cell>
          <cell r="E1280">
            <v>22128</v>
          </cell>
          <cell r="F1280">
            <v>22128</v>
          </cell>
          <cell r="G1280">
            <v>1844</v>
          </cell>
          <cell r="H1280">
            <v>3500</v>
          </cell>
          <cell r="I1280" t="str">
            <v>pc</v>
          </cell>
          <cell r="J1280">
            <v>3000</v>
          </cell>
          <cell r="K1280" t="str">
            <v>pc</v>
          </cell>
          <cell r="L1280">
            <v>2300</v>
          </cell>
          <cell r="M1280" t="str">
            <v>pc</v>
          </cell>
          <cell r="T1280">
            <v>25000</v>
          </cell>
          <cell r="U1280">
            <v>12</v>
          </cell>
          <cell r="V1280" t="str">
            <v>lsn</v>
          </cell>
          <cell r="W1280">
            <v>2000</v>
          </cell>
          <cell r="X1280" t="str">
            <v>pc</v>
          </cell>
          <cell r="Y1280">
            <v>2083.3333333333335</v>
          </cell>
          <cell r="Z1280" t="str">
            <v>pc</v>
          </cell>
        </row>
        <row r="1281">
          <cell r="A1281" t="str">
            <v>NUVO600</v>
          </cell>
          <cell r="B1281" t="str">
            <v>Sabun Nuvo 600 ml Pump</v>
          </cell>
          <cell r="C1281">
            <v>12</v>
          </cell>
          <cell r="D1281" t="str">
            <v>pcs</v>
          </cell>
          <cell r="E1281">
            <v>361200</v>
          </cell>
          <cell r="G1281">
            <v>30100</v>
          </cell>
          <cell r="H1281">
            <v>34000</v>
          </cell>
          <cell r="I1281" t="str">
            <v>pc</v>
          </cell>
          <cell r="J1281">
            <v>33500</v>
          </cell>
          <cell r="K1281" t="str">
            <v>pc</v>
          </cell>
          <cell r="L1281">
            <v>33000</v>
          </cell>
          <cell r="M1281" t="str">
            <v>pc</v>
          </cell>
        </row>
        <row r="1282">
          <cell r="A1282" t="str">
            <v>NUVO250H</v>
          </cell>
          <cell r="B1282" t="str">
            <v>Sabun Cuci Tangan Nuvo 250 ml</v>
          </cell>
          <cell r="C1282">
            <v>12</v>
          </cell>
          <cell r="D1282" t="str">
            <v>pcs</v>
          </cell>
          <cell r="E1282">
            <v>126000</v>
          </cell>
          <cell r="G1282">
            <v>10500</v>
          </cell>
          <cell r="H1282">
            <v>12500</v>
          </cell>
          <cell r="I1282" t="str">
            <v>pc</v>
          </cell>
          <cell r="J1282">
            <v>12500</v>
          </cell>
          <cell r="K1282" t="str">
            <v>pc</v>
          </cell>
          <cell r="L1282">
            <v>12000</v>
          </cell>
          <cell r="M1282" t="str">
            <v>pc</v>
          </cell>
        </row>
        <row r="1283">
          <cell r="A1283" t="str">
            <v>NUVO250M</v>
          </cell>
          <cell r="B1283" t="str">
            <v>Sabun Mandi Nuvo Cair 250 ml</v>
          </cell>
          <cell r="C1283">
            <v>12</v>
          </cell>
          <cell r="D1283" t="str">
            <v>pcs</v>
          </cell>
          <cell r="E1283">
            <v>123600</v>
          </cell>
          <cell r="G1283">
            <v>10300</v>
          </cell>
          <cell r="H1283">
            <v>12000</v>
          </cell>
          <cell r="I1283" t="str">
            <v>pc</v>
          </cell>
          <cell r="J1283">
            <v>11500</v>
          </cell>
          <cell r="K1283" t="str">
            <v>pc</v>
          </cell>
          <cell r="L1283">
            <v>11000</v>
          </cell>
          <cell r="M1283" t="str">
            <v>pc</v>
          </cell>
        </row>
        <row r="1284">
          <cell r="A1284" t="str">
            <v>NUVO250P</v>
          </cell>
          <cell r="B1284" t="str">
            <v>Nuvo Hand Sanitizer  250 ml Pump</v>
          </cell>
          <cell r="C1284">
            <v>2</v>
          </cell>
          <cell r="D1284" t="str">
            <v>pcs</v>
          </cell>
          <cell r="E1284">
            <v>39000</v>
          </cell>
          <cell r="G1284">
            <v>19500</v>
          </cell>
          <cell r="H1284">
            <v>22000</v>
          </cell>
          <cell r="I1284" t="str">
            <v>pc</v>
          </cell>
          <cell r="J1284">
            <v>22000</v>
          </cell>
          <cell r="K1284" t="str">
            <v>pc</v>
          </cell>
          <cell r="L1284">
            <v>22000</v>
          </cell>
          <cell r="M1284" t="str">
            <v>pc</v>
          </cell>
        </row>
        <row r="1285">
          <cell r="A1285" t="str">
            <v>NUVO450</v>
          </cell>
          <cell r="B1285" t="str">
            <v>Sabun Nuvo Cair 450 ml</v>
          </cell>
          <cell r="C1285">
            <v>12</v>
          </cell>
          <cell r="D1285" t="str">
            <v>pcs</v>
          </cell>
          <cell r="E1285">
            <v>220200</v>
          </cell>
          <cell r="G1285">
            <v>18350</v>
          </cell>
          <cell r="H1285">
            <v>21000</v>
          </cell>
          <cell r="I1285" t="str">
            <v>pc</v>
          </cell>
          <cell r="J1285">
            <v>20500</v>
          </cell>
          <cell r="K1285" t="str">
            <v>pc</v>
          </cell>
          <cell r="L1285">
            <v>20000</v>
          </cell>
          <cell r="M1285" t="str">
            <v>pc</v>
          </cell>
        </row>
        <row r="1286">
          <cell r="A1286" t="str">
            <v>MUTIARA</v>
          </cell>
          <cell r="B1286" t="str">
            <v>Sagu Mutiara</v>
          </cell>
          <cell r="C1286">
            <v>25</v>
          </cell>
          <cell r="D1286" t="str">
            <v>pak</v>
          </cell>
          <cell r="E1286">
            <v>53000</v>
          </cell>
          <cell r="F1286">
            <v>172500</v>
          </cell>
          <cell r="G1286">
            <v>2120</v>
          </cell>
          <cell r="H1286">
            <v>3000</v>
          </cell>
          <cell r="I1286" t="str">
            <v>pc</v>
          </cell>
          <cell r="J1286">
            <v>3000</v>
          </cell>
          <cell r="K1286" t="str">
            <v>pc</v>
          </cell>
          <cell r="L1286">
            <v>2500</v>
          </cell>
          <cell r="M1286" t="str">
            <v>pc</v>
          </cell>
          <cell r="Q1286">
            <v>56000</v>
          </cell>
          <cell r="R1286">
            <v>25</v>
          </cell>
          <cell r="S1286" t="str">
            <v>pak</v>
          </cell>
          <cell r="W1286">
            <v>2300</v>
          </cell>
          <cell r="X1286" t="str">
            <v>pc</v>
          </cell>
          <cell r="Y1286">
            <v>2300</v>
          </cell>
          <cell r="Z1286" t="str">
            <v>pc</v>
          </cell>
        </row>
        <row r="1287">
          <cell r="A1287" t="str">
            <v>ULEGN</v>
          </cell>
          <cell r="B1287" t="str">
            <v>Bumbu Nasi Goreng Uleg</v>
          </cell>
          <cell r="C1287">
            <v>7</v>
          </cell>
          <cell r="D1287" t="str">
            <v>pcs</v>
          </cell>
          <cell r="E1287">
            <v>6000</v>
          </cell>
          <cell r="F1287">
            <v>10285.714285714286</v>
          </cell>
          <cell r="G1287">
            <v>857.14285714285711</v>
          </cell>
          <cell r="H1287">
            <v>1500</v>
          </cell>
          <cell r="I1287" t="str">
            <v>pc</v>
          </cell>
          <cell r="J1287">
            <v>1500</v>
          </cell>
          <cell r="K1287" t="str">
            <v>pc</v>
          </cell>
          <cell r="L1287">
            <v>1500</v>
          </cell>
          <cell r="M1287" t="str">
            <v>pc</v>
          </cell>
          <cell r="N1287">
            <v>7000</v>
          </cell>
          <cell r="P1287" t="str">
            <v>pc</v>
          </cell>
        </row>
        <row r="1288">
          <cell r="A1288" t="str">
            <v>ULEGS</v>
          </cell>
          <cell r="B1288" t="str">
            <v>Sambal Terasi Uleg</v>
          </cell>
          <cell r="C1288">
            <v>10</v>
          </cell>
          <cell r="D1288" t="str">
            <v>pcs</v>
          </cell>
          <cell r="E1288">
            <v>12000</v>
          </cell>
          <cell r="F1288">
            <v>14400</v>
          </cell>
          <cell r="G1288">
            <v>1200</v>
          </cell>
          <cell r="H1288">
            <v>1500</v>
          </cell>
          <cell r="I1288" t="str">
            <v>pc</v>
          </cell>
          <cell r="J1288">
            <v>1500</v>
          </cell>
          <cell r="K1288" t="str">
            <v>pc</v>
          </cell>
          <cell r="L1288">
            <v>1500</v>
          </cell>
          <cell r="M1288" t="str">
            <v>pc</v>
          </cell>
          <cell r="N1288">
            <v>13000</v>
          </cell>
          <cell r="P1288" t="str">
            <v>rtg</v>
          </cell>
        </row>
        <row r="1289">
          <cell r="A1289" t="str">
            <v>SAMBAL1</v>
          </cell>
          <cell r="B1289" t="str">
            <v>Sambal Terasi ABC RTG</v>
          </cell>
          <cell r="C1289">
            <v>10</v>
          </cell>
          <cell r="D1289" t="str">
            <v>pcs</v>
          </cell>
          <cell r="E1289">
            <v>11700.007000000001</v>
          </cell>
          <cell r="F1289">
            <v>14040.008400000001</v>
          </cell>
          <cell r="G1289">
            <v>1170.0007000000001</v>
          </cell>
          <cell r="H1289">
            <v>1500</v>
          </cell>
          <cell r="I1289" t="str">
            <v>pc</v>
          </cell>
          <cell r="J1289">
            <v>1500</v>
          </cell>
          <cell r="K1289" t="str">
            <v>pc</v>
          </cell>
          <cell r="L1289">
            <v>1500</v>
          </cell>
          <cell r="M1289" t="str">
            <v>pc</v>
          </cell>
          <cell r="N1289">
            <v>13000</v>
          </cell>
          <cell r="P1289" t="str">
            <v>rtg</v>
          </cell>
        </row>
        <row r="1290">
          <cell r="A1290" t="str">
            <v>SAMBAL335</v>
          </cell>
          <cell r="B1290" t="str">
            <v>Sambal ABC BOTOL 335</v>
          </cell>
          <cell r="C1290">
            <v>1</v>
          </cell>
          <cell r="D1290" t="str">
            <v>btl</v>
          </cell>
          <cell r="E1290">
            <v>11735.24</v>
          </cell>
          <cell r="F1290">
            <v>140822.88</v>
          </cell>
          <cell r="G1290">
            <v>11735.24</v>
          </cell>
          <cell r="H1290">
            <v>14000</v>
          </cell>
          <cell r="I1290" t="str">
            <v>pc</v>
          </cell>
          <cell r="J1290">
            <v>13500</v>
          </cell>
          <cell r="K1290" t="str">
            <v>pc</v>
          </cell>
          <cell r="L1290">
            <v>13000</v>
          </cell>
          <cell r="M1290" t="str">
            <v>pc</v>
          </cell>
        </row>
        <row r="1291">
          <cell r="A1291" t="str">
            <v>SAMBAL190</v>
          </cell>
          <cell r="B1291" t="str">
            <v>Sambal Terasi /Bajak/ IJO ABC 190 gr</v>
          </cell>
          <cell r="C1291">
            <v>12</v>
          </cell>
          <cell r="D1291" t="str">
            <v>btl</v>
          </cell>
          <cell r="E1291">
            <v>171144.57800000001</v>
          </cell>
          <cell r="F1291">
            <v>171144.57800000001</v>
          </cell>
          <cell r="G1291">
            <v>14262.048166666667</v>
          </cell>
          <cell r="H1291">
            <v>16500</v>
          </cell>
          <cell r="I1291" t="str">
            <v>pc</v>
          </cell>
          <cell r="J1291">
            <v>16500</v>
          </cell>
          <cell r="K1291" t="str">
            <v>pc</v>
          </cell>
          <cell r="L1291">
            <v>16000</v>
          </cell>
          <cell r="M1291" t="str">
            <v>pc</v>
          </cell>
        </row>
        <row r="1292">
          <cell r="A1292" t="str">
            <v>SAMBAL80</v>
          </cell>
          <cell r="B1292" t="str">
            <v>Sambal ABC 80 gr</v>
          </cell>
          <cell r="C1292">
            <v>1</v>
          </cell>
          <cell r="D1292" t="str">
            <v>pcs</v>
          </cell>
          <cell r="E1292">
            <v>2303.9719999999998</v>
          </cell>
          <cell r="F1292">
            <v>27647.663999999997</v>
          </cell>
          <cell r="G1292">
            <v>2303.9719999999998</v>
          </cell>
          <cell r="H1292">
            <v>3500</v>
          </cell>
          <cell r="I1292" t="str">
            <v>pc</v>
          </cell>
          <cell r="J1292">
            <v>3500</v>
          </cell>
          <cell r="K1292" t="str">
            <v>pc</v>
          </cell>
          <cell r="L1292">
            <v>3000</v>
          </cell>
          <cell r="M1292" t="str">
            <v>pc</v>
          </cell>
          <cell r="T1292">
            <v>31000</v>
          </cell>
          <cell r="U1292">
            <v>12</v>
          </cell>
          <cell r="V1292" t="str">
            <v>lsn</v>
          </cell>
          <cell r="Y1292">
            <v>2600</v>
          </cell>
          <cell r="Z1292" t="str">
            <v>pc</v>
          </cell>
        </row>
        <row r="1293">
          <cell r="A1293" t="str">
            <v>INDOFOOD</v>
          </cell>
          <cell r="B1293" t="str">
            <v>Sambal Chiken Indofood</v>
          </cell>
          <cell r="C1293">
            <v>40</v>
          </cell>
          <cell r="D1293" t="str">
            <v>pak</v>
          </cell>
          <cell r="E1293">
            <v>154000</v>
          </cell>
          <cell r="F1293">
            <v>46200</v>
          </cell>
          <cell r="G1293">
            <v>3850</v>
          </cell>
          <cell r="H1293">
            <v>5000</v>
          </cell>
          <cell r="I1293" t="str">
            <v>pak</v>
          </cell>
          <cell r="J1293">
            <v>4700</v>
          </cell>
          <cell r="K1293" t="str">
            <v>pak</v>
          </cell>
          <cell r="L1293">
            <v>4300</v>
          </cell>
          <cell r="M1293" t="str">
            <v>pak</v>
          </cell>
          <cell r="T1293">
            <v>49000</v>
          </cell>
          <cell r="U1293">
            <v>12</v>
          </cell>
          <cell r="V1293" t="str">
            <v>lsn</v>
          </cell>
          <cell r="W1293">
            <v>4000</v>
          </cell>
          <cell r="X1293" t="str">
            <v>pak</v>
          </cell>
          <cell r="Y1293">
            <v>4200</v>
          </cell>
          <cell r="Z1293" t="str">
            <v>pak</v>
          </cell>
        </row>
        <row r="1294">
          <cell r="A1294" t="str">
            <v>SAMBAL600</v>
          </cell>
          <cell r="B1294" t="str">
            <v>Sambal BUNGKUS 600</v>
          </cell>
          <cell r="C1294">
            <v>24</v>
          </cell>
          <cell r="D1294" t="str">
            <v>pcs</v>
          </cell>
          <cell r="E1294">
            <v>55500</v>
          </cell>
          <cell r="F1294">
            <v>27750</v>
          </cell>
          <cell r="G1294">
            <v>2312.5</v>
          </cell>
          <cell r="H1294">
            <v>3500</v>
          </cell>
          <cell r="I1294" t="str">
            <v>pc</v>
          </cell>
          <cell r="J1294">
            <v>3500</v>
          </cell>
          <cell r="K1294" t="str">
            <v>pc</v>
          </cell>
          <cell r="L1294">
            <v>35000</v>
          </cell>
          <cell r="M1294" t="str">
            <v>pc</v>
          </cell>
          <cell r="T1294">
            <v>35000</v>
          </cell>
          <cell r="U1294">
            <v>12</v>
          </cell>
          <cell r="V1294" t="str">
            <v>lsn</v>
          </cell>
          <cell r="W1294">
            <v>2500</v>
          </cell>
          <cell r="X1294" t="str">
            <v>pc</v>
          </cell>
          <cell r="Y1294">
            <v>3000</v>
          </cell>
          <cell r="Z1294" t="str">
            <v>pc</v>
          </cell>
          <cell r="AA1294">
            <v>59500</v>
          </cell>
          <cell r="AB1294" t="str">
            <v>dos</v>
          </cell>
        </row>
        <row r="1295">
          <cell r="A1295" t="str">
            <v>SANTANR</v>
          </cell>
          <cell r="B1295" t="str">
            <v>Santan Santan Reteng Tropicana</v>
          </cell>
          <cell r="C1295">
            <v>10</v>
          </cell>
          <cell r="D1295" t="str">
            <v>rtg</v>
          </cell>
          <cell r="E1295">
            <v>19800</v>
          </cell>
          <cell r="G1295">
            <v>1980</v>
          </cell>
          <cell r="H1295">
            <v>2500</v>
          </cell>
          <cell r="I1295" t="str">
            <v>pc</v>
          </cell>
          <cell r="J1295">
            <v>2500</v>
          </cell>
          <cell r="K1295" t="str">
            <v>bks</v>
          </cell>
          <cell r="N1295">
            <v>22000</v>
          </cell>
          <cell r="P1295" t="str">
            <v>rtg</v>
          </cell>
        </row>
        <row r="1296">
          <cell r="A1296" t="str">
            <v>TROPIR</v>
          </cell>
          <cell r="B1296" t="str">
            <v>Gula Tropicana Renteng 1 rtg 10 pc</v>
          </cell>
          <cell r="C1296">
            <v>10</v>
          </cell>
          <cell r="D1296" t="str">
            <v>rtg</v>
          </cell>
          <cell r="E1296">
            <v>6187.5</v>
          </cell>
          <cell r="G1296">
            <v>618.75</v>
          </cell>
          <cell r="H1296">
            <v>1000</v>
          </cell>
          <cell r="I1296" t="str">
            <v>pc</v>
          </cell>
          <cell r="J1296">
            <v>1000</v>
          </cell>
          <cell r="K1296" t="str">
            <v>bks</v>
          </cell>
          <cell r="N1296">
            <v>8000</v>
          </cell>
          <cell r="P1296" t="str">
            <v>rtg</v>
          </cell>
        </row>
        <row r="1297">
          <cell r="A1297" t="str">
            <v>KARABS</v>
          </cell>
          <cell r="B1297" t="str">
            <v>Santan Sun Kara Ktk</v>
          </cell>
          <cell r="C1297">
            <v>12</v>
          </cell>
          <cell r="D1297" t="str">
            <v>dos</v>
          </cell>
          <cell r="E1297">
            <v>76000</v>
          </cell>
          <cell r="G1297">
            <v>6333.333333333333</v>
          </cell>
          <cell r="H1297">
            <v>7000</v>
          </cell>
          <cell r="I1297" t="str">
            <v>pc</v>
          </cell>
          <cell r="J1297">
            <v>7000</v>
          </cell>
          <cell r="K1297" t="str">
            <v>bks</v>
          </cell>
          <cell r="L1297">
            <v>6800</v>
          </cell>
          <cell r="M1297" t="str">
            <v>bks</v>
          </cell>
          <cell r="T1297">
            <v>79000</v>
          </cell>
          <cell r="U1297">
            <v>12</v>
          </cell>
          <cell r="V1297" t="str">
            <v>lsn</v>
          </cell>
          <cell r="W1297">
            <v>6500</v>
          </cell>
          <cell r="X1297" t="str">
            <v>pc</v>
          </cell>
          <cell r="Y1297">
            <v>6600</v>
          </cell>
          <cell r="Z1297" t="str">
            <v>pc</v>
          </cell>
        </row>
        <row r="1298">
          <cell r="A1298" t="str">
            <v>KARAKC</v>
          </cell>
          <cell r="B1298" t="str">
            <v>Santan Sun Kara Segitiga</v>
          </cell>
          <cell r="C1298">
            <v>36</v>
          </cell>
          <cell r="D1298" t="str">
            <v>dos</v>
          </cell>
          <cell r="E1298">
            <v>86000</v>
          </cell>
          <cell r="F1298">
            <v>28666.666666666664</v>
          </cell>
          <cell r="G1298">
            <v>2388.8888888888887</v>
          </cell>
          <cell r="H1298">
            <v>3000</v>
          </cell>
          <cell r="I1298" t="str">
            <v>pc</v>
          </cell>
          <cell r="J1298">
            <v>3000</v>
          </cell>
          <cell r="K1298" t="str">
            <v>pc</v>
          </cell>
          <cell r="L1298">
            <v>2600</v>
          </cell>
          <cell r="M1298" t="str">
            <v>pc</v>
          </cell>
          <cell r="T1298">
            <v>30000</v>
          </cell>
          <cell r="U1298">
            <v>12</v>
          </cell>
          <cell r="V1298" t="str">
            <v>lsn</v>
          </cell>
          <cell r="W1298">
            <v>2500</v>
          </cell>
          <cell r="X1298" t="str">
            <v>pc</v>
          </cell>
          <cell r="Y1298">
            <v>2500</v>
          </cell>
          <cell r="Z1298" t="str">
            <v>pc</v>
          </cell>
          <cell r="AA1298">
            <v>89000</v>
          </cell>
          <cell r="AB1298" t="str">
            <v>dos</v>
          </cell>
        </row>
        <row r="1299">
          <cell r="A1299" t="str">
            <v>KARAR</v>
          </cell>
          <cell r="B1299" t="str">
            <v>Santan Kara Rose Brand Segitiga</v>
          </cell>
          <cell r="C1299">
            <v>8</v>
          </cell>
          <cell r="D1299" t="str">
            <v>pcs</v>
          </cell>
          <cell r="E1299">
            <v>16666.666666666668</v>
          </cell>
          <cell r="F1299">
            <v>25000</v>
          </cell>
          <cell r="G1299">
            <v>2083.3333333333335</v>
          </cell>
          <cell r="H1299">
            <v>2500</v>
          </cell>
          <cell r="I1299" t="str">
            <v>pc</v>
          </cell>
          <cell r="J1299">
            <v>2500</v>
          </cell>
          <cell r="K1299" t="str">
            <v>pc</v>
          </cell>
          <cell r="L1299">
            <v>2300</v>
          </cell>
          <cell r="M1299" t="str">
            <v>pc</v>
          </cell>
          <cell r="N1299">
            <v>18400</v>
          </cell>
          <cell r="P1299" t="str">
            <v>rtg</v>
          </cell>
          <cell r="T1299">
            <v>27500</v>
          </cell>
          <cell r="U1299">
            <v>12</v>
          </cell>
          <cell r="V1299" t="str">
            <v>lsn</v>
          </cell>
          <cell r="W1299">
            <v>2250</v>
          </cell>
          <cell r="X1299" t="str">
            <v>pc</v>
          </cell>
          <cell r="Y1299">
            <v>2291.6666666666665</v>
          </cell>
          <cell r="Z1299" t="str">
            <v>pc</v>
          </cell>
        </row>
        <row r="1300">
          <cell r="A1300" t="str">
            <v>SASA65</v>
          </cell>
          <cell r="B1300" t="str">
            <v>Santan SASA cair 65 ml</v>
          </cell>
          <cell r="C1300">
            <v>32</v>
          </cell>
          <cell r="D1300" t="str">
            <v>pcs</v>
          </cell>
          <cell r="E1300">
            <v>80000</v>
          </cell>
          <cell r="F1300">
            <v>30000</v>
          </cell>
          <cell r="G1300">
            <v>2500</v>
          </cell>
          <cell r="H1300">
            <v>3500</v>
          </cell>
          <cell r="I1300" t="str">
            <v>pc</v>
          </cell>
          <cell r="J1300">
            <v>3500</v>
          </cell>
          <cell r="K1300" t="str">
            <v>pc</v>
          </cell>
          <cell r="L1300">
            <v>3000</v>
          </cell>
          <cell r="M1300" t="str">
            <v>pc</v>
          </cell>
          <cell r="T1300">
            <v>33000</v>
          </cell>
          <cell r="U1300">
            <v>12</v>
          </cell>
          <cell r="V1300" t="str">
            <v>lsn</v>
          </cell>
          <cell r="X1300" t="str">
            <v>pc</v>
          </cell>
          <cell r="Y1300">
            <v>2750</v>
          </cell>
          <cell r="Z1300" t="str">
            <v>pc</v>
          </cell>
        </row>
        <row r="1301">
          <cell r="A1301" t="str">
            <v>SASAR</v>
          </cell>
          <cell r="B1301" t="str">
            <v>Santan SASA BUBUK RTG BESAR</v>
          </cell>
          <cell r="C1301">
            <v>6</v>
          </cell>
          <cell r="D1301" t="str">
            <v>pcs</v>
          </cell>
          <cell r="E1301">
            <v>33000</v>
          </cell>
          <cell r="F1301">
            <v>132000</v>
          </cell>
          <cell r="G1301">
            <v>5500</v>
          </cell>
          <cell r="H1301">
            <v>6500</v>
          </cell>
          <cell r="I1301" t="str">
            <v>pc</v>
          </cell>
          <cell r="J1301">
            <v>6300</v>
          </cell>
          <cell r="K1301" t="str">
            <v>pc</v>
          </cell>
          <cell r="L1301">
            <v>6000</v>
          </cell>
          <cell r="M1301" t="str">
            <v>pc</v>
          </cell>
          <cell r="N1301">
            <v>35000</v>
          </cell>
          <cell r="P1301" t="str">
            <v>rtg</v>
          </cell>
          <cell r="W1301">
            <v>5800</v>
          </cell>
          <cell r="X1301" t="str">
            <v>pc</v>
          </cell>
          <cell r="Y1301">
            <v>5900</v>
          </cell>
          <cell r="Z1301" t="str">
            <v>pc</v>
          </cell>
        </row>
        <row r="1302">
          <cell r="A1302" t="str">
            <v>SASA200</v>
          </cell>
          <cell r="B1302" t="str">
            <v>Santan SASA CAIR 200 ML</v>
          </cell>
          <cell r="C1302">
            <v>24</v>
          </cell>
          <cell r="D1302" t="str">
            <v>pcs</v>
          </cell>
          <cell r="E1302">
            <v>180000</v>
          </cell>
          <cell r="F1302">
            <v>90000</v>
          </cell>
          <cell r="G1302">
            <v>7500</v>
          </cell>
          <cell r="H1302">
            <v>9000</v>
          </cell>
          <cell r="I1302" t="str">
            <v>pc</v>
          </cell>
          <cell r="J1302">
            <v>8500</v>
          </cell>
          <cell r="K1302" t="str">
            <v>pc</v>
          </cell>
          <cell r="L1302">
            <v>8500</v>
          </cell>
          <cell r="M1302" t="str">
            <v>pc</v>
          </cell>
        </row>
        <row r="1303">
          <cell r="A1303" t="str">
            <v>ABANG</v>
          </cell>
          <cell r="B1303" t="str">
            <v>Saos Abang Bakso</v>
          </cell>
          <cell r="C1303">
            <v>24</v>
          </cell>
          <cell r="D1303" t="str">
            <v>pcs</v>
          </cell>
          <cell r="E1303">
            <v>117000</v>
          </cell>
          <cell r="F1303">
            <v>58500</v>
          </cell>
          <cell r="G1303">
            <v>4875</v>
          </cell>
          <cell r="H1303">
            <v>6000</v>
          </cell>
          <cell r="I1303" t="str">
            <v>pc</v>
          </cell>
          <cell r="J1303">
            <v>5800</v>
          </cell>
          <cell r="K1303" t="str">
            <v>bks</v>
          </cell>
          <cell r="L1303">
            <v>5400</v>
          </cell>
          <cell r="M1303" t="str">
            <v>bks</v>
          </cell>
          <cell r="T1303">
            <v>62000</v>
          </cell>
          <cell r="U1303">
            <v>12</v>
          </cell>
          <cell r="V1303" t="str">
            <v>lsn</v>
          </cell>
          <cell r="W1303">
            <v>5100</v>
          </cell>
          <cell r="X1303" t="str">
            <v>bks</v>
          </cell>
          <cell r="Y1303">
            <v>5200</v>
          </cell>
          <cell r="Z1303" t="str">
            <v>bks</v>
          </cell>
        </row>
        <row r="1304">
          <cell r="A1304" t="str">
            <v>ASAMMANIS</v>
          </cell>
          <cell r="B1304" t="str">
            <v>Saos Asam Manis</v>
          </cell>
          <cell r="C1304">
            <v>12</v>
          </cell>
          <cell r="D1304" t="str">
            <v>btl</v>
          </cell>
          <cell r="E1304">
            <v>136543</v>
          </cell>
          <cell r="G1304">
            <v>11378.583333333334</v>
          </cell>
          <cell r="H1304">
            <v>13000</v>
          </cell>
          <cell r="I1304" t="str">
            <v>pc</v>
          </cell>
          <cell r="J1304">
            <v>12500</v>
          </cell>
          <cell r="K1304" t="str">
            <v>pc</v>
          </cell>
          <cell r="L1304">
            <v>11900</v>
          </cell>
          <cell r="M1304" t="str">
            <v>pc</v>
          </cell>
          <cell r="T1304">
            <v>139000</v>
          </cell>
          <cell r="U1304">
            <v>12</v>
          </cell>
          <cell r="V1304" t="str">
            <v>lsn</v>
          </cell>
          <cell r="W1304">
            <v>11500</v>
          </cell>
          <cell r="X1304" t="str">
            <v>pc</v>
          </cell>
          <cell r="Y1304">
            <v>11600</v>
          </cell>
          <cell r="Z1304" t="str">
            <v>pc</v>
          </cell>
        </row>
        <row r="1305">
          <cell r="A1305" t="str">
            <v>WIJEN195</v>
          </cell>
          <cell r="B1305" t="str">
            <v>Minyak Wijen 195 ml</v>
          </cell>
          <cell r="C1305">
            <v>6</v>
          </cell>
          <cell r="D1305" t="str">
            <v>btl</v>
          </cell>
          <cell r="E1305">
            <v>168915.054</v>
          </cell>
          <cell r="G1305">
            <v>28152.509000000002</v>
          </cell>
          <cell r="H1305">
            <v>31000</v>
          </cell>
          <cell r="I1305" t="str">
            <v>btl</v>
          </cell>
          <cell r="J1305">
            <v>31000</v>
          </cell>
          <cell r="K1305" t="str">
            <v>btl</v>
          </cell>
          <cell r="L1305">
            <v>31000</v>
          </cell>
          <cell r="M1305" t="str">
            <v>btl</v>
          </cell>
        </row>
        <row r="1306">
          <cell r="A1306" t="str">
            <v>INGGRIS195</v>
          </cell>
          <cell r="B1306" t="str">
            <v>Kecap Inggris 195 ml</v>
          </cell>
          <cell r="C1306">
            <v>6</v>
          </cell>
          <cell r="D1306" t="str">
            <v>btl</v>
          </cell>
          <cell r="E1306">
            <v>79114.067999999999</v>
          </cell>
          <cell r="G1306">
            <v>13185.678</v>
          </cell>
          <cell r="H1306">
            <v>16000</v>
          </cell>
          <cell r="I1306" t="str">
            <v>btl</v>
          </cell>
          <cell r="J1306">
            <v>16000</v>
          </cell>
          <cell r="K1306" t="str">
            <v>btl</v>
          </cell>
          <cell r="L1306">
            <v>16000</v>
          </cell>
          <cell r="M1306" t="str">
            <v>btl</v>
          </cell>
        </row>
        <row r="1307">
          <cell r="A1307" t="str">
            <v>INDOSAOS</v>
          </cell>
          <cell r="B1307" t="str">
            <v>Saos Indosaos Bungkus</v>
          </cell>
          <cell r="C1307">
            <v>24</v>
          </cell>
          <cell r="D1307" t="str">
            <v>bks</v>
          </cell>
          <cell r="E1307">
            <v>52000</v>
          </cell>
          <cell r="F1307">
            <v>26000</v>
          </cell>
          <cell r="G1307">
            <v>2166.6666666666665</v>
          </cell>
          <cell r="H1307">
            <v>3000</v>
          </cell>
          <cell r="I1307" t="str">
            <v>pc</v>
          </cell>
          <cell r="J1307">
            <v>2700</v>
          </cell>
          <cell r="K1307" t="str">
            <v>pc</v>
          </cell>
          <cell r="L1307">
            <v>2500</v>
          </cell>
          <cell r="M1307" t="str">
            <v>pc</v>
          </cell>
          <cell r="T1307">
            <v>28500</v>
          </cell>
          <cell r="U1307">
            <v>12</v>
          </cell>
          <cell r="V1307" t="str">
            <v>lsn</v>
          </cell>
          <cell r="W1307">
            <v>2350</v>
          </cell>
          <cell r="X1307" t="str">
            <v>pc</v>
          </cell>
          <cell r="Y1307">
            <v>2375</v>
          </cell>
          <cell r="Z1307" t="str">
            <v>pc</v>
          </cell>
          <cell r="AA1307">
            <v>55000</v>
          </cell>
          <cell r="AB1307" t="str">
            <v>dos</v>
          </cell>
        </row>
        <row r="1308">
          <cell r="A1308" t="str">
            <v>SAMBAL135</v>
          </cell>
          <cell r="B1308" t="str">
            <v>Saos Sambal ABC Kecil 135</v>
          </cell>
          <cell r="C1308">
            <v>48</v>
          </cell>
          <cell r="D1308" t="str">
            <v>pcs</v>
          </cell>
          <cell r="E1308">
            <v>238000</v>
          </cell>
          <cell r="F1308">
            <v>59500</v>
          </cell>
          <cell r="G1308">
            <v>4958.333333333333</v>
          </cell>
          <cell r="H1308">
            <v>7500</v>
          </cell>
          <cell r="I1308" t="str">
            <v>pc</v>
          </cell>
          <cell r="J1308">
            <v>7500</v>
          </cell>
          <cell r="K1308" t="str">
            <v>pc</v>
          </cell>
          <cell r="L1308">
            <v>7500</v>
          </cell>
          <cell r="M1308" t="str">
            <v>pc</v>
          </cell>
        </row>
        <row r="1309">
          <cell r="A1309" t="str">
            <v>SAMBAL275</v>
          </cell>
          <cell r="B1309" t="str">
            <v>Saos Sambal ABC  275</v>
          </cell>
          <cell r="C1309">
            <v>1</v>
          </cell>
          <cell r="D1309" t="str">
            <v>pcs</v>
          </cell>
          <cell r="E1309">
            <v>10676.753999999999</v>
          </cell>
          <cell r="F1309">
            <v>128121.04799999998</v>
          </cell>
          <cell r="G1309">
            <v>10676.753999999999</v>
          </cell>
          <cell r="H1309">
            <v>12000</v>
          </cell>
          <cell r="I1309" t="str">
            <v>pc</v>
          </cell>
          <cell r="J1309">
            <v>11500</v>
          </cell>
          <cell r="K1309" t="str">
            <v>pc</v>
          </cell>
          <cell r="L1309">
            <v>11000</v>
          </cell>
          <cell r="M1309" t="str">
            <v>pc</v>
          </cell>
          <cell r="Y1309">
            <v>11000</v>
          </cell>
          <cell r="Z1309" t="str">
            <v>pc</v>
          </cell>
        </row>
        <row r="1310">
          <cell r="A1310" t="str">
            <v>ABCSTICK</v>
          </cell>
          <cell r="B1310" t="str">
            <v>Saos Stick Abc 1</v>
          </cell>
          <cell r="C1310">
            <v>42</v>
          </cell>
          <cell r="D1310" t="str">
            <v>pcs</v>
          </cell>
          <cell r="E1310">
            <v>6300</v>
          </cell>
          <cell r="F1310">
            <v>2100</v>
          </cell>
          <cell r="G1310">
            <v>150</v>
          </cell>
          <cell r="N1310">
            <v>3000</v>
          </cell>
          <cell r="O1310">
            <v>12</v>
          </cell>
          <cell r="P1310" t="str">
            <v>rtg</v>
          </cell>
          <cell r="Q1310">
            <v>7000</v>
          </cell>
          <cell r="R1310">
            <v>42</v>
          </cell>
          <cell r="S1310" t="str">
            <v>pak</v>
          </cell>
        </row>
        <row r="1311">
          <cell r="A1311" t="str">
            <v>SELERAKUT</v>
          </cell>
          <cell r="B1311" t="str">
            <v>Saos TOMAT Seleraku</v>
          </cell>
          <cell r="C1311">
            <v>24</v>
          </cell>
          <cell r="D1311" t="str">
            <v>dos</v>
          </cell>
          <cell r="E1311">
            <v>58000</v>
          </cell>
          <cell r="F1311">
            <v>29000</v>
          </cell>
          <cell r="G1311">
            <v>2416.6666666666665</v>
          </cell>
          <cell r="H1311">
            <v>3000</v>
          </cell>
          <cell r="I1311" t="str">
            <v>pc</v>
          </cell>
          <cell r="J1311">
            <v>3000</v>
          </cell>
          <cell r="K1311" t="str">
            <v>pc</v>
          </cell>
          <cell r="L1311">
            <v>2700</v>
          </cell>
          <cell r="M1311" t="str">
            <v>pc</v>
          </cell>
        </row>
        <row r="1312">
          <cell r="A1312" t="str">
            <v>SELERAKUS</v>
          </cell>
          <cell r="B1312" t="str">
            <v>Saos SAMBAL Seleraku</v>
          </cell>
          <cell r="C1312">
            <v>24</v>
          </cell>
          <cell r="D1312" t="str">
            <v>dos</v>
          </cell>
          <cell r="E1312">
            <v>56000</v>
          </cell>
          <cell r="F1312">
            <v>28000</v>
          </cell>
          <cell r="G1312">
            <v>2333.3333333333335</v>
          </cell>
          <cell r="H1312">
            <v>3000</v>
          </cell>
          <cell r="I1312" t="str">
            <v>pc</v>
          </cell>
          <cell r="J1312">
            <v>3000</v>
          </cell>
          <cell r="K1312" t="str">
            <v>pc</v>
          </cell>
          <cell r="L1312">
            <v>2700</v>
          </cell>
          <cell r="M1312" t="str">
            <v>pc</v>
          </cell>
        </row>
        <row r="1313">
          <cell r="A1313" t="str">
            <v>SINAR</v>
          </cell>
          <cell r="B1313" t="str">
            <v>Saos Sambal Sinar Sakti</v>
          </cell>
          <cell r="C1313">
            <v>20</v>
          </cell>
          <cell r="D1313" t="str">
            <v>bks</v>
          </cell>
          <cell r="E1313">
            <v>36000</v>
          </cell>
          <cell r="F1313">
            <v>21600</v>
          </cell>
          <cell r="G1313">
            <v>1800</v>
          </cell>
        </row>
        <row r="1314">
          <cell r="A1314" t="str">
            <v>SAORI</v>
          </cell>
          <cell r="B1314" t="str">
            <v>Saos Saori renteng</v>
          </cell>
          <cell r="C1314">
            <v>10</v>
          </cell>
          <cell r="D1314" t="str">
            <v>rtg</v>
          </cell>
          <cell r="E1314">
            <v>20416.666666666668</v>
          </cell>
          <cell r="F1314">
            <v>245000</v>
          </cell>
          <cell r="G1314">
            <v>2041.6666666666667</v>
          </cell>
          <cell r="H1314">
            <v>2500</v>
          </cell>
          <cell r="I1314" t="str">
            <v>pc</v>
          </cell>
          <cell r="J1314">
            <v>2500</v>
          </cell>
          <cell r="K1314" t="str">
            <v>pc</v>
          </cell>
          <cell r="N1314">
            <v>21500</v>
          </cell>
          <cell r="P1314" t="str">
            <v>rtg</v>
          </cell>
        </row>
        <row r="1315">
          <cell r="A1315" t="str">
            <v>TIRAMR</v>
          </cell>
          <cell r="B1315" t="str">
            <v>Saos Tiram ABC Renteng</v>
          </cell>
          <cell r="C1315">
            <v>10</v>
          </cell>
          <cell r="D1315" t="str">
            <v>rtg</v>
          </cell>
          <cell r="E1315">
            <v>15103.39875</v>
          </cell>
          <cell r="F1315">
            <v>120827.19</v>
          </cell>
          <cell r="G1315">
            <v>1510.3398750000001</v>
          </cell>
          <cell r="H1315">
            <v>2000</v>
          </cell>
          <cell r="I1315" t="str">
            <v>pc</v>
          </cell>
          <cell r="J1315">
            <v>2000</v>
          </cell>
          <cell r="K1315" t="str">
            <v>pc</v>
          </cell>
          <cell r="L1315">
            <v>2000</v>
          </cell>
          <cell r="M1315" t="str">
            <v>pc</v>
          </cell>
          <cell r="N1315">
            <v>17500</v>
          </cell>
          <cell r="P1315" t="str">
            <v>rtg</v>
          </cell>
        </row>
        <row r="1316">
          <cell r="A1316" t="str">
            <v>TIRAM195</v>
          </cell>
          <cell r="B1316" t="str">
            <v>Saos Tiram Botol 195 ml</v>
          </cell>
          <cell r="C1316">
            <v>24</v>
          </cell>
          <cell r="D1316" t="str">
            <v>btl</v>
          </cell>
          <cell r="E1316">
            <v>255618.11000000002</v>
          </cell>
          <cell r="F1316">
            <v>127809.05499999999</v>
          </cell>
          <cell r="G1316">
            <v>10650.754583333333</v>
          </cell>
          <cell r="H1316">
            <v>13000</v>
          </cell>
          <cell r="I1316" t="str">
            <v>btl</v>
          </cell>
          <cell r="J1316">
            <v>13000</v>
          </cell>
          <cell r="K1316" t="str">
            <v>btl</v>
          </cell>
          <cell r="L1316">
            <v>13000</v>
          </cell>
          <cell r="M1316" t="str">
            <v>btl</v>
          </cell>
          <cell r="T1316">
            <v>130000</v>
          </cell>
          <cell r="U1316">
            <v>12</v>
          </cell>
          <cell r="V1316" t="str">
            <v>lsn</v>
          </cell>
          <cell r="W1316">
            <v>10800</v>
          </cell>
          <cell r="X1316" t="str">
            <v>btl</v>
          </cell>
          <cell r="Y1316">
            <v>10900</v>
          </cell>
          <cell r="Z1316" t="str">
            <v>btl</v>
          </cell>
        </row>
        <row r="1317">
          <cell r="A1317" t="str">
            <v>TIRAM275</v>
          </cell>
          <cell r="B1317" t="str">
            <v>Saos Tiram Botol 275 ml</v>
          </cell>
          <cell r="C1317">
            <v>6</v>
          </cell>
          <cell r="D1317" t="str">
            <v>btl</v>
          </cell>
          <cell r="E1317">
            <v>84000</v>
          </cell>
          <cell r="F1317">
            <v>168000</v>
          </cell>
          <cell r="G1317">
            <v>14000</v>
          </cell>
          <cell r="H1317">
            <v>16000</v>
          </cell>
          <cell r="I1317" t="str">
            <v>btl</v>
          </cell>
          <cell r="J1317">
            <v>15500</v>
          </cell>
          <cell r="K1317" t="str">
            <v>btl</v>
          </cell>
          <cell r="L1317">
            <v>14500</v>
          </cell>
          <cell r="M1317" t="str">
            <v>btl</v>
          </cell>
          <cell r="T1317">
            <v>171000</v>
          </cell>
          <cell r="U1317">
            <v>12</v>
          </cell>
          <cell r="V1317" t="str">
            <v>lsn</v>
          </cell>
          <cell r="W1317">
            <v>14200</v>
          </cell>
          <cell r="X1317" t="str">
            <v>btl</v>
          </cell>
          <cell r="Y1317">
            <v>14250</v>
          </cell>
          <cell r="Z1317" t="str">
            <v>btl</v>
          </cell>
        </row>
        <row r="1318">
          <cell r="A1318" t="str">
            <v>TIRAM135</v>
          </cell>
          <cell r="B1318" t="str">
            <v>Saos Tiram Botol 135 ml</v>
          </cell>
          <cell r="C1318">
            <v>6</v>
          </cell>
          <cell r="D1318" t="str">
            <v>btl</v>
          </cell>
          <cell r="E1318">
            <v>45930</v>
          </cell>
          <cell r="G1318">
            <v>7655</v>
          </cell>
          <cell r="H1318">
            <v>9000</v>
          </cell>
          <cell r="I1318" t="str">
            <v>btl</v>
          </cell>
          <cell r="J1318">
            <v>8500</v>
          </cell>
          <cell r="K1318" t="str">
            <v>btl</v>
          </cell>
          <cell r="L1318">
            <v>8100</v>
          </cell>
          <cell r="M1318" t="str">
            <v>btl</v>
          </cell>
          <cell r="T1318">
            <v>95000</v>
          </cell>
          <cell r="U1318">
            <v>12</v>
          </cell>
          <cell r="V1318" t="str">
            <v>lsn</v>
          </cell>
          <cell r="W1318">
            <v>7900</v>
          </cell>
          <cell r="X1318" t="str">
            <v>btl</v>
          </cell>
          <cell r="Y1318">
            <v>7916.666666666667</v>
          </cell>
          <cell r="Z1318" t="str">
            <v>btl</v>
          </cell>
        </row>
        <row r="1319">
          <cell r="A1319" t="str">
            <v>TIRAM425</v>
          </cell>
          <cell r="B1319" t="str">
            <v>Saos Tiram Botol 425 ml</v>
          </cell>
          <cell r="C1319">
            <v>1</v>
          </cell>
          <cell r="D1319" t="str">
            <v>btl</v>
          </cell>
          <cell r="E1319">
            <v>24352.657999999999</v>
          </cell>
          <cell r="G1319">
            <v>24352.657999999999</v>
          </cell>
          <cell r="H1319">
            <v>27000</v>
          </cell>
          <cell r="I1319" t="str">
            <v>btl</v>
          </cell>
          <cell r="J1319">
            <v>26500</v>
          </cell>
          <cell r="K1319" t="str">
            <v>btl</v>
          </cell>
          <cell r="L1319">
            <v>26000</v>
          </cell>
          <cell r="M1319" t="str">
            <v>btl</v>
          </cell>
        </row>
        <row r="1320">
          <cell r="A1320" t="str">
            <v>TOMAT135</v>
          </cell>
          <cell r="B1320" t="str">
            <v>Saos Tomat ABC Kecil 135 GR</v>
          </cell>
          <cell r="C1320">
            <v>48</v>
          </cell>
          <cell r="D1320" t="str">
            <v>btl</v>
          </cell>
          <cell r="E1320">
            <v>207000</v>
          </cell>
          <cell r="F1320">
            <v>51750</v>
          </cell>
          <cell r="G1320">
            <v>4312.5</v>
          </cell>
          <cell r="H1320">
            <v>5500</v>
          </cell>
          <cell r="I1320" t="str">
            <v>btl</v>
          </cell>
          <cell r="J1320">
            <v>5200</v>
          </cell>
          <cell r="K1320" t="str">
            <v>btl</v>
          </cell>
          <cell r="L1320">
            <v>4700</v>
          </cell>
          <cell r="M1320" t="str">
            <v>btl</v>
          </cell>
          <cell r="T1320">
            <v>54000</v>
          </cell>
          <cell r="U1320">
            <v>12</v>
          </cell>
          <cell r="V1320" t="str">
            <v>lsn</v>
          </cell>
          <cell r="W1320">
            <v>4400</v>
          </cell>
          <cell r="X1320" t="str">
            <v>btl</v>
          </cell>
          <cell r="Y1320">
            <v>4500</v>
          </cell>
          <cell r="Z1320" t="str">
            <v>btl</v>
          </cell>
        </row>
        <row r="1321">
          <cell r="A1321" t="str">
            <v>TOMAT335</v>
          </cell>
          <cell r="B1321" t="str">
            <v>Saos Tomat ABC 335 GR</v>
          </cell>
          <cell r="C1321">
            <v>1</v>
          </cell>
          <cell r="D1321" t="str">
            <v>btl</v>
          </cell>
          <cell r="E1321">
            <v>10346.435000000001</v>
          </cell>
          <cell r="F1321">
            <v>124157.22000000002</v>
          </cell>
          <cell r="G1321">
            <v>10346.435000000001</v>
          </cell>
          <cell r="H1321">
            <v>12500</v>
          </cell>
          <cell r="I1321" t="str">
            <v>btl</v>
          </cell>
          <cell r="J1321">
            <v>12000</v>
          </cell>
          <cell r="K1321" t="str">
            <v>btl</v>
          </cell>
          <cell r="L1321">
            <v>11700</v>
          </cell>
          <cell r="M1321" t="str">
            <v>btl</v>
          </cell>
        </row>
        <row r="1322">
          <cell r="A1322" t="str">
            <v>TOMAT1000</v>
          </cell>
          <cell r="B1322" t="str">
            <v>Saos Tomat ABC 1000 GR</v>
          </cell>
          <cell r="C1322">
            <v>6</v>
          </cell>
          <cell r="D1322" t="str">
            <v>pcs</v>
          </cell>
          <cell r="E1322">
            <v>86544.7</v>
          </cell>
          <cell r="G1322">
            <v>14424.116666666667</v>
          </cell>
          <cell r="H1322">
            <v>16000</v>
          </cell>
          <cell r="I1322" t="str">
            <v>pc</v>
          </cell>
          <cell r="J1322">
            <v>15500</v>
          </cell>
          <cell r="K1322" t="str">
            <v>pc</v>
          </cell>
          <cell r="L1322">
            <v>15000</v>
          </cell>
          <cell r="M1322" t="str">
            <v>pc</v>
          </cell>
        </row>
        <row r="1323">
          <cell r="A1323" t="str">
            <v>SELERAS</v>
          </cell>
          <cell r="B1323" t="str">
            <v>Saos Sambel Selera</v>
          </cell>
          <cell r="C1323">
            <v>24</v>
          </cell>
          <cell r="D1323" t="str">
            <v>dos</v>
          </cell>
          <cell r="E1323">
            <v>56000</v>
          </cell>
          <cell r="F1323">
            <v>28000</v>
          </cell>
          <cell r="G1323">
            <v>2333.3333333333335</v>
          </cell>
          <cell r="H1323">
            <v>3000</v>
          </cell>
          <cell r="I1323" t="str">
            <v>bks</v>
          </cell>
          <cell r="J1323">
            <v>3000</v>
          </cell>
          <cell r="K1323" t="str">
            <v>bks</v>
          </cell>
          <cell r="L1323">
            <v>3000</v>
          </cell>
          <cell r="M1323" t="str">
            <v>bks</v>
          </cell>
          <cell r="T1323">
            <v>24000</v>
          </cell>
          <cell r="U1323">
            <v>12</v>
          </cell>
          <cell r="V1323" t="str">
            <v>lsn</v>
          </cell>
          <cell r="X1323" t="str">
            <v>bks</v>
          </cell>
          <cell r="Z1323" t="str">
            <v>bks</v>
          </cell>
          <cell r="AB1323" t="str">
            <v>dos</v>
          </cell>
        </row>
        <row r="1324">
          <cell r="A1324" t="str">
            <v>SELERAT</v>
          </cell>
          <cell r="B1324" t="str">
            <v>Saos Tomat Selera</v>
          </cell>
          <cell r="C1324">
            <v>24</v>
          </cell>
          <cell r="D1324" t="str">
            <v>dos</v>
          </cell>
          <cell r="E1324">
            <v>53000</v>
          </cell>
          <cell r="F1324">
            <v>26500</v>
          </cell>
          <cell r="G1324">
            <v>2208.3333333333335</v>
          </cell>
          <cell r="H1324">
            <v>3000</v>
          </cell>
          <cell r="I1324" t="str">
            <v>pc</v>
          </cell>
          <cell r="J1324">
            <v>3000</v>
          </cell>
          <cell r="K1324" t="str">
            <v>pc</v>
          </cell>
          <cell r="L1324">
            <v>2900</v>
          </cell>
          <cell r="M1324" t="str">
            <v>pc</v>
          </cell>
          <cell r="V1324" t="str">
            <v>lsn</v>
          </cell>
          <cell r="W1324">
            <v>2500</v>
          </cell>
          <cell r="X1324" t="str">
            <v>pc</v>
          </cell>
          <cell r="Y1324">
            <v>2600</v>
          </cell>
          <cell r="Z1324" t="str">
            <v>pc</v>
          </cell>
          <cell r="AB1324" t="str">
            <v>dos</v>
          </cell>
        </row>
        <row r="1325">
          <cell r="A1325" t="str">
            <v>RIARASA</v>
          </cell>
          <cell r="B1325" t="str">
            <v>Saos Tomat RIA RASA</v>
          </cell>
          <cell r="C1325">
            <v>24</v>
          </cell>
          <cell r="D1325" t="str">
            <v>dos</v>
          </cell>
          <cell r="E1325">
            <v>50000</v>
          </cell>
          <cell r="F1325">
            <v>25000</v>
          </cell>
          <cell r="G1325">
            <v>2083.3333333333335</v>
          </cell>
          <cell r="H1325">
            <v>3000</v>
          </cell>
          <cell r="I1325" t="str">
            <v>pc</v>
          </cell>
          <cell r="J1325">
            <v>3000</v>
          </cell>
          <cell r="K1325" t="str">
            <v>pc</v>
          </cell>
          <cell r="L1325">
            <v>2600</v>
          </cell>
          <cell r="M1325" t="str">
            <v>pc</v>
          </cell>
          <cell r="T1325">
            <v>28000</v>
          </cell>
          <cell r="U1325">
            <v>12</v>
          </cell>
          <cell r="V1325" t="str">
            <v>lsn</v>
          </cell>
          <cell r="W1325">
            <v>2300</v>
          </cell>
          <cell r="X1325" t="str">
            <v>pc</v>
          </cell>
          <cell r="Y1325">
            <v>2400</v>
          </cell>
          <cell r="Z1325" t="str">
            <v>pc</v>
          </cell>
          <cell r="AA1325">
            <v>54000</v>
          </cell>
          <cell r="AB1325" t="str">
            <v>dos</v>
          </cell>
        </row>
        <row r="1326">
          <cell r="A1326" t="str">
            <v>SILIWANGIT</v>
          </cell>
          <cell r="B1326" t="str">
            <v>Saos Tomat Siliwangi</v>
          </cell>
          <cell r="C1326">
            <v>24</v>
          </cell>
          <cell r="D1326" t="str">
            <v>dos</v>
          </cell>
          <cell r="E1326">
            <v>48000</v>
          </cell>
          <cell r="F1326">
            <v>24000</v>
          </cell>
          <cell r="G1326">
            <v>2000</v>
          </cell>
          <cell r="H1326">
            <v>3000</v>
          </cell>
          <cell r="I1326" t="str">
            <v>pc</v>
          </cell>
          <cell r="J1326">
            <v>3000</v>
          </cell>
          <cell r="K1326" t="str">
            <v>pc</v>
          </cell>
          <cell r="L1326">
            <v>2500</v>
          </cell>
          <cell r="M1326" t="str">
            <v>pc</v>
          </cell>
          <cell r="T1326">
            <v>27000</v>
          </cell>
          <cell r="U1326">
            <v>12</v>
          </cell>
          <cell r="V1326" t="str">
            <v>lsn</v>
          </cell>
          <cell r="W1326">
            <v>2200</v>
          </cell>
          <cell r="X1326" t="str">
            <v>pc</v>
          </cell>
          <cell r="Y1326">
            <v>2250</v>
          </cell>
          <cell r="Z1326" t="str">
            <v>pc</v>
          </cell>
          <cell r="AA1326">
            <v>51000</v>
          </cell>
          <cell r="AB1326" t="str">
            <v>dos</v>
          </cell>
        </row>
        <row r="1327">
          <cell r="A1327" t="str">
            <v>MAHKOTA</v>
          </cell>
          <cell r="B1327" t="str">
            <v>Saos Tomat STIK</v>
          </cell>
          <cell r="C1327">
            <v>20</v>
          </cell>
          <cell r="D1327" t="str">
            <v>bks</v>
          </cell>
          <cell r="E1327">
            <v>67000</v>
          </cell>
          <cell r="F1327">
            <v>40200</v>
          </cell>
          <cell r="G1327">
            <v>3350</v>
          </cell>
        </row>
        <row r="1328">
          <cell r="A1328" t="str">
            <v>SARANGN</v>
          </cell>
          <cell r="B1328" t="str">
            <v>Sarang Burung klg Naraya</v>
          </cell>
          <cell r="C1328">
            <v>24</v>
          </cell>
          <cell r="D1328" t="str">
            <v>klg</v>
          </cell>
          <cell r="E1328">
            <v>98000</v>
          </cell>
          <cell r="F1328">
            <v>49000</v>
          </cell>
          <cell r="G1328">
            <v>4083.3333333333335</v>
          </cell>
          <cell r="H1328">
            <v>5000</v>
          </cell>
          <cell r="I1328" t="str">
            <v>klg</v>
          </cell>
          <cell r="J1328">
            <v>4500</v>
          </cell>
          <cell r="K1328" t="str">
            <v>klg</v>
          </cell>
          <cell r="L1328">
            <v>4300</v>
          </cell>
          <cell r="M1328" t="str">
            <v>klg</v>
          </cell>
          <cell r="T1328">
            <v>51500</v>
          </cell>
          <cell r="U1328">
            <v>12</v>
          </cell>
          <cell r="V1328" t="str">
            <v>lsn</v>
          </cell>
          <cell r="W1328">
            <v>4200</v>
          </cell>
          <cell r="X1328" t="str">
            <v>klg</v>
          </cell>
          <cell r="Y1328">
            <v>4291.666666666667</v>
          </cell>
          <cell r="Z1328" t="str">
            <v>klg</v>
          </cell>
          <cell r="AA1328">
            <v>101000</v>
          </cell>
          <cell r="AB1328" t="str">
            <v>dos</v>
          </cell>
        </row>
        <row r="1329">
          <cell r="A1329" t="str">
            <v>SARANGP</v>
          </cell>
          <cell r="B1329" t="str">
            <v>Sarang Burung klg PANDA</v>
          </cell>
          <cell r="C1329">
            <v>24</v>
          </cell>
          <cell r="D1329" t="str">
            <v>klg</v>
          </cell>
          <cell r="E1329">
            <v>90000</v>
          </cell>
          <cell r="F1329">
            <v>45000</v>
          </cell>
          <cell r="G1329">
            <v>3750</v>
          </cell>
          <cell r="H1329">
            <v>5000</v>
          </cell>
          <cell r="I1329" t="str">
            <v>klg</v>
          </cell>
          <cell r="J1329">
            <v>4500</v>
          </cell>
          <cell r="K1329" t="str">
            <v>klg</v>
          </cell>
          <cell r="L1329">
            <v>4100</v>
          </cell>
          <cell r="M1329" t="str">
            <v>klg</v>
          </cell>
          <cell r="T1329">
            <v>47500</v>
          </cell>
          <cell r="U1329">
            <v>12</v>
          </cell>
          <cell r="V1329" t="str">
            <v>lsn</v>
          </cell>
          <cell r="W1329">
            <v>3900</v>
          </cell>
          <cell r="X1329" t="str">
            <v>klg</v>
          </cell>
          <cell r="Y1329">
            <v>3958.3333333333335</v>
          </cell>
          <cell r="Z1329" t="str">
            <v>klg</v>
          </cell>
          <cell r="AA1329">
            <v>93000</v>
          </cell>
          <cell r="AB1329" t="str">
            <v>dos</v>
          </cell>
        </row>
        <row r="1330">
          <cell r="A1330" t="str">
            <v>SARANGY</v>
          </cell>
          <cell r="B1330" t="str">
            <v>Sarang Burung klg YEOS</v>
          </cell>
          <cell r="C1330">
            <v>24</v>
          </cell>
          <cell r="D1330" t="str">
            <v>klg</v>
          </cell>
          <cell r="E1330">
            <v>95000</v>
          </cell>
          <cell r="F1330">
            <v>47500</v>
          </cell>
          <cell r="G1330">
            <v>3958.3333333333335</v>
          </cell>
          <cell r="H1330">
            <v>5000</v>
          </cell>
          <cell r="I1330" t="str">
            <v>klg</v>
          </cell>
          <cell r="J1330">
            <v>4500</v>
          </cell>
          <cell r="K1330" t="str">
            <v>klg</v>
          </cell>
          <cell r="L1330">
            <v>4300</v>
          </cell>
          <cell r="M1330" t="str">
            <v>klg</v>
          </cell>
          <cell r="T1330">
            <v>50000</v>
          </cell>
          <cell r="U1330">
            <v>12</v>
          </cell>
          <cell r="V1330" t="str">
            <v>lsn</v>
          </cell>
          <cell r="W1330">
            <v>4100</v>
          </cell>
          <cell r="X1330" t="str">
            <v>klg</v>
          </cell>
          <cell r="Y1330">
            <v>4166.666666666667</v>
          </cell>
          <cell r="Z1330" t="str">
            <v>klg</v>
          </cell>
          <cell r="AA1330">
            <v>98000</v>
          </cell>
          <cell r="AB1330" t="str">
            <v>dos</v>
          </cell>
        </row>
        <row r="1331">
          <cell r="A1331" t="str">
            <v>ABC425</v>
          </cell>
          <cell r="B1331" t="str">
            <v xml:space="preserve">Sarden ABC Besar 425 </v>
          </cell>
          <cell r="C1331">
            <v>24</v>
          </cell>
          <cell r="D1331" t="str">
            <v>klg</v>
          </cell>
          <cell r="E1331">
            <v>426575.6</v>
          </cell>
          <cell r="F1331">
            <v>213287.8</v>
          </cell>
          <cell r="G1331">
            <v>17773.983333333334</v>
          </cell>
          <cell r="H1331">
            <v>19000</v>
          </cell>
          <cell r="I1331" t="str">
            <v>klg</v>
          </cell>
          <cell r="J1331">
            <v>19000</v>
          </cell>
          <cell r="K1331" t="str">
            <v>klg</v>
          </cell>
          <cell r="L1331">
            <v>19000</v>
          </cell>
          <cell r="M1331" t="str">
            <v>klg</v>
          </cell>
          <cell r="U1331">
            <v>12</v>
          </cell>
          <cell r="V1331" t="str">
            <v>lsn</v>
          </cell>
          <cell r="X1331" t="str">
            <v>klg</v>
          </cell>
          <cell r="Z1331" t="str">
            <v>klg</v>
          </cell>
        </row>
        <row r="1332">
          <cell r="A1332" t="str">
            <v>ABC155B</v>
          </cell>
          <cell r="B1332" t="str">
            <v>Sarden ABC Kecil 155 ml Biasa</v>
          </cell>
          <cell r="C1332">
            <v>60</v>
          </cell>
          <cell r="D1332" t="str">
            <v>klg</v>
          </cell>
          <cell r="E1332">
            <v>453303.4</v>
          </cell>
          <cell r="F1332">
            <v>90660.680000000008</v>
          </cell>
          <cell r="G1332">
            <v>7555.0566666666673</v>
          </cell>
          <cell r="H1332">
            <v>8500</v>
          </cell>
          <cell r="I1332" t="str">
            <v>pc</v>
          </cell>
          <cell r="J1332">
            <v>8300</v>
          </cell>
          <cell r="K1332" t="str">
            <v>klg</v>
          </cell>
          <cell r="L1332">
            <v>8000</v>
          </cell>
          <cell r="M1332" t="str">
            <v>klg</v>
          </cell>
        </row>
        <row r="1333">
          <cell r="A1333" t="str">
            <v>ABC155P</v>
          </cell>
          <cell r="B1333" t="str">
            <v>Sarden ABC Kecil 155 ml Pedas</v>
          </cell>
          <cell r="C1333">
            <v>60</v>
          </cell>
          <cell r="D1333" t="str">
            <v>klg</v>
          </cell>
          <cell r="E1333">
            <v>418852.049</v>
          </cell>
          <cell r="F1333">
            <v>83770.409799999994</v>
          </cell>
          <cell r="G1333">
            <v>6980.8674833333334</v>
          </cell>
          <cell r="H1333">
            <v>8500</v>
          </cell>
          <cell r="I1333" t="str">
            <v>pc</v>
          </cell>
          <cell r="J1333">
            <v>7500</v>
          </cell>
          <cell r="K1333" t="str">
            <v>klg</v>
          </cell>
          <cell r="L1333">
            <v>7500</v>
          </cell>
          <cell r="M1333" t="str">
            <v>klg</v>
          </cell>
          <cell r="T1333">
            <v>86000</v>
          </cell>
          <cell r="U1333">
            <v>12</v>
          </cell>
          <cell r="V1333" t="str">
            <v>lsn</v>
          </cell>
          <cell r="W1333">
            <v>9000</v>
          </cell>
          <cell r="X1333" t="str">
            <v>klg</v>
          </cell>
          <cell r="Y1333">
            <v>9000</v>
          </cell>
          <cell r="Z1333" t="str">
            <v>klg</v>
          </cell>
        </row>
        <row r="1334">
          <cell r="A1334" t="str">
            <v>CIPP155</v>
          </cell>
          <cell r="B1334" t="str">
            <v xml:space="preserve">Sarden CIP KECIL PEDAS 155 </v>
          </cell>
          <cell r="C1334">
            <v>12</v>
          </cell>
          <cell r="D1334" t="str">
            <v>klg</v>
          </cell>
          <cell r="E1334">
            <v>66240</v>
          </cell>
          <cell r="F1334">
            <v>66240</v>
          </cell>
          <cell r="G1334">
            <v>5520</v>
          </cell>
          <cell r="H1334">
            <v>6500</v>
          </cell>
          <cell r="I1334" t="str">
            <v>klg</v>
          </cell>
          <cell r="J1334">
            <v>6300</v>
          </cell>
          <cell r="K1334" t="str">
            <v>klg</v>
          </cell>
          <cell r="L1334">
            <v>5950</v>
          </cell>
          <cell r="M1334" t="str">
            <v>klg</v>
          </cell>
          <cell r="T1334">
            <v>68500</v>
          </cell>
          <cell r="U1334">
            <v>12</v>
          </cell>
          <cell r="V1334" t="str">
            <v>lsn</v>
          </cell>
          <cell r="W1334">
            <v>5700</v>
          </cell>
          <cell r="X1334" t="str">
            <v>klg</v>
          </cell>
          <cell r="Y1334">
            <v>5708.333333333333</v>
          </cell>
          <cell r="Z1334" t="str">
            <v>klg</v>
          </cell>
        </row>
        <row r="1335">
          <cell r="A1335" t="str">
            <v>CIPB155</v>
          </cell>
          <cell r="B1335" t="str">
            <v xml:space="preserve">Sarden CIP KECIL TOMAT 155 </v>
          </cell>
          <cell r="C1335">
            <v>25</v>
          </cell>
          <cell r="D1335" t="str">
            <v>klg</v>
          </cell>
          <cell r="E1335">
            <v>127950</v>
          </cell>
          <cell r="F1335">
            <v>61416</v>
          </cell>
          <cell r="G1335">
            <v>5118</v>
          </cell>
          <cell r="H1335">
            <v>6000</v>
          </cell>
          <cell r="I1335" t="str">
            <v>klg</v>
          </cell>
          <cell r="J1335">
            <v>5700</v>
          </cell>
          <cell r="K1335" t="str">
            <v>klg</v>
          </cell>
          <cell r="L1335">
            <v>5500</v>
          </cell>
          <cell r="M1335" t="str">
            <v>klg</v>
          </cell>
          <cell r="T1335">
            <v>64000</v>
          </cell>
          <cell r="U1335">
            <v>12</v>
          </cell>
          <cell r="V1335" t="str">
            <v>lsn</v>
          </cell>
          <cell r="W1335">
            <v>5300</v>
          </cell>
          <cell r="X1335" t="str">
            <v>klg</v>
          </cell>
          <cell r="Y1335">
            <v>5333.333333333333</v>
          </cell>
          <cell r="Z1335" t="str">
            <v>klg</v>
          </cell>
        </row>
        <row r="1336">
          <cell r="A1336" t="str">
            <v>CIPP425</v>
          </cell>
          <cell r="B1336" t="str">
            <v xml:space="preserve">Sarden CIP BESAR PEDAS 425 </v>
          </cell>
          <cell r="C1336">
            <v>12</v>
          </cell>
          <cell r="D1336" t="str">
            <v>klg</v>
          </cell>
          <cell r="E1336">
            <v>154104</v>
          </cell>
          <cell r="F1336">
            <v>154104</v>
          </cell>
          <cell r="G1336">
            <v>12842</v>
          </cell>
          <cell r="H1336">
            <v>13500</v>
          </cell>
          <cell r="I1336" t="str">
            <v>klg</v>
          </cell>
          <cell r="J1336">
            <v>13500</v>
          </cell>
          <cell r="K1336" t="str">
            <v>klg</v>
          </cell>
          <cell r="L1336">
            <v>13200</v>
          </cell>
          <cell r="M1336" t="str">
            <v>klg</v>
          </cell>
          <cell r="T1336">
            <v>157000</v>
          </cell>
          <cell r="U1336">
            <v>12</v>
          </cell>
          <cell r="V1336" t="str">
            <v>lsn</v>
          </cell>
          <cell r="W1336">
            <v>13000</v>
          </cell>
          <cell r="X1336" t="str">
            <v>klg</v>
          </cell>
          <cell r="Y1336">
            <v>13083.333333333334</v>
          </cell>
          <cell r="Z1336" t="str">
            <v>klg</v>
          </cell>
        </row>
        <row r="1337">
          <cell r="A1337" t="str">
            <v>CIPB425</v>
          </cell>
          <cell r="B1337" t="str">
            <v xml:space="preserve">Sarden CIP BESAR TOMAT 425 </v>
          </cell>
          <cell r="C1337">
            <v>24</v>
          </cell>
          <cell r="D1337" t="str">
            <v>klg</v>
          </cell>
          <cell r="E1337">
            <v>284864</v>
          </cell>
          <cell r="F1337">
            <v>142432</v>
          </cell>
          <cell r="G1337">
            <v>11869.333333333334</v>
          </cell>
          <cell r="H1337">
            <v>12500</v>
          </cell>
          <cell r="I1337" t="str">
            <v>klg</v>
          </cell>
          <cell r="J1337">
            <v>12300</v>
          </cell>
          <cell r="K1337" t="str">
            <v>klg</v>
          </cell>
          <cell r="L1337">
            <v>12200</v>
          </cell>
          <cell r="M1337" t="str">
            <v>klg</v>
          </cell>
          <cell r="T1337">
            <v>145000</v>
          </cell>
          <cell r="U1337">
            <v>12</v>
          </cell>
          <cell r="V1337" t="str">
            <v>lsn</v>
          </cell>
          <cell r="W1337">
            <v>12000</v>
          </cell>
          <cell r="X1337" t="str">
            <v>klg</v>
          </cell>
          <cell r="Y1337">
            <v>12083.333333333334</v>
          </cell>
          <cell r="Z1337" t="str">
            <v>klg</v>
          </cell>
        </row>
        <row r="1338">
          <cell r="A1338" t="str">
            <v>BANTANB</v>
          </cell>
          <cell r="B1338" t="str">
            <v>Sarden Bantan Besar</v>
          </cell>
          <cell r="C1338">
            <v>24</v>
          </cell>
          <cell r="D1338" t="str">
            <v>klg</v>
          </cell>
          <cell r="E1338">
            <v>385000</v>
          </cell>
          <cell r="F1338">
            <v>192500</v>
          </cell>
          <cell r="G1338">
            <v>16041.666666666666</v>
          </cell>
          <cell r="H1338">
            <v>17000</v>
          </cell>
          <cell r="I1338" t="str">
            <v>klg</v>
          </cell>
          <cell r="J1338">
            <v>16700</v>
          </cell>
          <cell r="K1338" t="str">
            <v>klg</v>
          </cell>
          <cell r="L1338">
            <v>16500</v>
          </cell>
          <cell r="M1338" t="str">
            <v>klg</v>
          </cell>
          <cell r="Y1338">
            <v>16500</v>
          </cell>
          <cell r="Z1338" t="str">
            <v>klg</v>
          </cell>
        </row>
        <row r="1339">
          <cell r="A1339" t="str">
            <v>BANTANK</v>
          </cell>
          <cell r="B1339" t="str">
            <v>Sarden Bantan Kecil</v>
          </cell>
          <cell r="C1339">
            <v>100</v>
          </cell>
          <cell r="D1339" t="str">
            <v>dos</v>
          </cell>
          <cell r="E1339">
            <v>625000</v>
          </cell>
          <cell r="F1339">
            <v>75000</v>
          </cell>
          <cell r="G1339">
            <v>6250</v>
          </cell>
          <cell r="H1339">
            <v>7000</v>
          </cell>
          <cell r="I1339" t="str">
            <v>klg</v>
          </cell>
          <cell r="J1339">
            <v>7000</v>
          </cell>
          <cell r="K1339" t="str">
            <v>klg</v>
          </cell>
          <cell r="L1339">
            <v>6700</v>
          </cell>
          <cell r="M1339" t="str">
            <v>klg</v>
          </cell>
          <cell r="T1339">
            <v>78000</v>
          </cell>
          <cell r="U1339">
            <v>12</v>
          </cell>
          <cell r="V1339" t="str">
            <v>lsn</v>
          </cell>
          <cell r="X1339" t="str">
            <v>klg</v>
          </cell>
          <cell r="Y1339">
            <v>6500</v>
          </cell>
          <cell r="Z1339" t="str">
            <v>klg</v>
          </cell>
        </row>
        <row r="1340">
          <cell r="A1340" t="str">
            <v>MEWAH</v>
          </cell>
          <cell r="B1340" t="str">
            <v>BAKMI MEWAH</v>
          </cell>
          <cell r="C1340">
            <v>24</v>
          </cell>
          <cell r="D1340" t="str">
            <v>pcs</v>
          </cell>
          <cell r="E1340">
            <v>160800</v>
          </cell>
          <cell r="F1340">
            <v>80400</v>
          </cell>
          <cell r="G1340">
            <v>6700</v>
          </cell>
          <cell r="H1340">
            <v>7500</v>
          </cell>
          <cell r="I1340" t="str">
            <v>pcs</v>
          </cell>
          <cell r="J1340">
            <v>7500</v>
          </cell>
          <cell r="K1340" t="str">
            <v>pcs</v>
          </cell>
          <cell r="L1340">
            <v>7300</v>
          </cell>
          <cell r="M1340" t="str">
            <v>pcs</v>
          </cell>
          <cell r="T1340">
            <v>84000</v>
          </cell>
          <cell r="U1340">
            <v>12</v>
          </cell>
          <cell r="V1340" t="str">
            <v>pcs</v>
          </cell>
          <cell r="W1340">
            <v>6900</v>
          </cell>
          <cell r="X1340" t="str">
            <v>pcs</v>
          </cell>
          <cell r="Y1340">
            <v>7000</v>
          </cell>
          <cell r="Z1340" t="str">
            <v>pcs</v>
          </cell>
          <cell r="AA1340">
            <v>164000</v>
          </cell>
          <cell r="AB1340" t="str">
            <v>dos</v>
          </cell>
        </row>
        <row r="1341">
          <cell r="A1341" t="str">
            <v>SARIMI1</v>
          </cell>
          <cell r="B1341" t="str">
            <v>Sarimi GELAS</v>
          </cell>
          <cell r="C1341">
            <v>10</v>
          </cell>
          <cell r="D1341" t="str">
            <v>rtg</v>
          </cell>
          <cell r="E1341">
            <v>8000</v>
          </cell>
          <cell r="F1341">
            <v>96000</v>
          </cell>
          <cell r="G1341">
            <v>800</v>
          </cell>
          <cell r="N1341">
            <v>9000</v>
          </cell>
          <cell r="P1341" t="str">
            <v>rtg</v>
          </cell>
          <cell r="AA1341">
            <v>103000</v>
          </cell>
          <cell r="AB1341" t="str">
            <v>dos</v>
          </cell>
        </row>
        <row r="1342">
          <cell r="A1342" t="str">
            <v>BASO</v>
          </cell>
          <cell r="B1342" t="str">
            <v>Sarimi Baso</v>
          </cell>
          <cell r="C1342">
            <v>40</v>
          </cell>
          <cell r="D1342" t="str">
            <v>dos</v>
          </cell>
          <cell r="E1342">
            <v>96000</v>
          </cell>
          <cell r="F1342">
            <v>82000</v>
          </cell>
          <cell r="G1342">
            <v>2400</v>
          </cell>
          <cell r="H1342">
            <v>2500</v>
          </cell>
          <cell r="I1342" t="str">
            <v>bks</v>
          </cell>
          <cell r="J1342">
            <v>2500</v>
          </cell>
          <cell r="K1342" t="str">
            <v>bks</v>
          </cell>
          <cell r="L1342">
            <v>2400</v>
          </cell>
          <cell r="M1342" t="str">
            <v>bks</v>
          </cell>
          <cell r="Y1342">
            <v>2400</v>
          </cell>
          <cell r="Z1342" t="str">
            <v>bks</v>
          </cell>
          <cell r="AA1342">
            <v>90000</v>
          </cell>
          <cell r="AB1342" t="str">
            <v>dos</v>
          </cell>
        </row>
        <row r="1343">
          <cell r="A1343" t="str">
            <v>SARK1</v>
          </cell>
          <cell r="B1343" t="str">
            <v>Sarimi KUAH isi 1 (DOK DOK DER)</v>
          </cell>
          <cell r="C1343">
            <v>40</v>
          </cell>
          <cell r="D1343" t="str">
            <v>dos</v>
          </cell>
          <cell r="E1343">
            <v>81000</v>
          </cell>
          <cell r="F1343">
            <v>24300</v>
          </cell>
          <cell r="G1343">
            <v>2025</v>
          </cell>
          <cell r="H1343">
            <v>2500</v>
          </cell>
          <cell r="I1343" t="str">
            <v>bks</v>
          </cell>
          <cell r="AA1343">
            <v>83000</v>
          </cell>
          <cell r="AB1343" t="str">
            <v>dos</v>
          </cell>
        </row>
        <row r="1344">
          <cell r="A1344" t="str">
            <v>ACEH</v>
          </cell>
          <cell r="B1344" t="str">
            <v>Indomi Goreng Aceh</v>
          </cell>
          <cell r="C1344">
            <v>40</v>
          </cell>
          <cell r="D1344" t="str">
            <v>dos</v>
          </cell>
          <cell r="E1344">
            <v>89000</v>
          </cell>
          <cell r="F1344">
            <v>26700</v>
          </cell>
          <cell r="G1344">
            <v>2225</v>
          </cell>
          <cell r="H1344">
            <v>2500</v>
          </cell>
          <cell r="I1344" t="str">
            <v>bks</v>
          </cell>
          <cell r="AA1344">
            <v>91000</v>
          </cell>
          <cell r="AB1344" t="str">
            <v>dos</v>
          </cell>
        </row>
        <row r="1345">
          <cell r="A1345" t="str">
            <v>SARGOR1</v>
          </cell>
          <cell r="B1345" t="str">
            <v>Sarimi Goreng isi 1</v>
          </cell>
          <cell r="C1345">
            <v>40</v>
          </cell>
          <cell r="D1345" t="str">
            <v>dos</v>
          </cell>
          <cell r="E1345">
            <v>83000</v>
          </cell>
          <cell r="F1345">
            <v>24900</v>
          </cell>
          <cell r="G1345">
            <v>2075</v>
          </cell>
          <cell r="H1345">
            <v>2500</v>
          </cell>
          <cell r="I1345" t="str">
            <v>bks</v>
          </cell>
          <cell r="AA1345">
            <v>86000</v>
          </cell>
          <cell r="AB1345" t="str">
            <v>dos</v>
          </cell>
        </row>
        <row r="1346">
          <cell r="A1346" t="str">
            <v>SARGOR2</v>
          </cell>
          <cell r="B1346" t="str">
            <v>Sarimi Goreng isi 2</v>
          </cell>
          <cell r="C1346">
            <v>24</v>
          </cell>
          <cell r="D1346" t="str">
            <v>dos</v>
          </cell>
          <cell r="E1346">
            <v>67000</v>
          </cell>
          <cell r="F1346">
            <v>33500</v>
          </cell>
          <cell r="G1346">
            <v>2791.6666666666665</v>
          </cell>
          <cell r="H1346">
            <v>3500</v>
          </cell>
          <cell r="I1346" t="str">
            <v>bks</v>
          </cell>
          <cell r="J1346">
            <v>3500</v>
          </cell>
          <cell r="K1346" t="str">
            <v>bks</v>
          </cell>
          <cell r="L1346">
            <v>3000</v>
          </cell>
          <cell r="M1346" t="str">
            <v>bks</v>
          </cell>
          <cell r="Y1346">
            <v>2895.8333333333335</v>
          </cell>
          <cell r="Z1346" t="str">
            <v>pc</v>
          </cell>
          <cell r="AA1346">
            <v>69500</v>
          </cell>
          <cell r="AB1346" t="str">
            <v>dos</v>
          </cell>
        </row>
        <row r="1347">
          <cell r="A1347" t="str">
            <v>TONGSENG</v>
          </cell>
          <cell r="B1347" t="str">
            <v>Sarimi Goreng TONGSENG isi 2</v>
          </cell>
          <cell r="C1347">
            <v>24</v>
          </cell>
          <cell r="D1347" t="str">
            <v>dos</v>
          </cell>
          <cell r="E1347">
            <v>67000</v>
          </cell>
          <cell r="F1347">
            <v>33500</v>
          </cell>
          <cell r="G1347">
            <v>2791.6666666666665</v>
          </cell>
          <cell r="H1347">
            <v>3500</v>
          </cell>
          <cell r="I1347" t="str">
            <v>bks</v>
          </cell>
          <cell r="J1347">
            <v>3500</v>
          </cell>
          <cell r="K1347" t="str">
            <v>bks</v>
          </cell>
          <cell r="L1347">
            <v>3000</v>
          </cell>
          <cell r="M1347" t="str">
            <v>bks</v>
          </cell>
          <cell r="Y1347">
            <v>2895.8333333333335</v>
          </cell>
          <cell r="Z1347" t="str">
            <v>pc</v>
          </cell>
          <cell r="AA1347">
            <v>69500</v>
          </cell>
          <cell r="AB1347" t="str">
            <v>dos</v>
          </cell>
        </row>
        <row r="1348">
          <cell r="A1348" t="str">
            <v>PECEL</v>
          </cell>
          <cell r="B1348" t="str">
            <v>Sarimi Goreng PECEL isi 2</v>
          </cell>
          <cell r="C1348">
            <v>24</v>
          </cell>
          <cell r="D1348" t="str">
            <v>dos</v>
          </cell>
          <cell r="E1348">
            <v>65000</v>
          </cell>
          <cell r="F1348">
            <v>32500</v>
          </cell>
          <cell r="G1348">
            <v>2708.3333333333335</v>
          </cell>
          <cell r="AA1348">
            <v>69000</v>
          </cell>
        </row>
        <row r="1349">
          <cell r="A1349" t="str">
            <v>SASA1</v>
          </cell>
          <cell r="B1349" t="str">
            <v>Sasa 1 Kg</v>
          </cell>
          <cell r="C1349">
            <v>12</v>
          </cell>
          <cell r="D1349" t="str">
            <v>pcs</v>
          </cell>
          <cell r="E1349">
            <v>282000</v>
          </cell>
          <cell r="G1349">
            <v>23500</v>
          </cell>
        </row>
        <row r="1350">
          <cell r="A1350" t="str">
            <v>SASA100</v>
          </cell>
          <cell r="B1350" t="str">
            <v>Sasa 100 gr</v>
          </cell>
          <cell r="C1350">
            <v>10</v>
          </cell>
          <cell r="D1350" t="str">
            <v>pak</v>
          </cell>
          <cell r="E1350">
            <v>40000</v>
          </cell>
          <cell r="F1350">
            <v>435000</v>
          </cell>
          <cell r="G1350">
            <v>4000</v>
          </cell>
          <cell r="H1350">
            <v>5000</v>
          </cell>
          <cell r="I1350" t="str">
            <v>bks</v>
          </cell>
          <cell r="J1350">
            <v>4500</v>
          </cell>
          <cell r="K1350" t="str">
            <v>bks</v>
          </cell>
          <cell r="L1350">
            <v>4400</v>
          </cell>
          <cell r="M1350" t="str">
            <v>bks</v>
          </cell>
          <cell r="Q1350">
            <v>42000</v>
          </cell>
          <cell r="R1350">
            <v>10</v>
          </cell>
          <cell r="S1350" t="str">
            <v>pak</v>
          </cell>
          <cell r="X1350" t="str">
            <v>bks</v>
          </cell>
          <cell r="Z1350" t="str">
            <v>bks</v>
          </cell>
        </row>
        <row r="1351">
          <cell r="A1351" t="str">
            <v>SASA250</v>
          </cell>
          <cell r="B1351" t="str">
            <v>Sasa 250 gr</v>
          </cell>
          <cell r="C1351">
            <v>48</v>
          </cell>
          <cell r="D1351" t="str">
            <v>pcs</v>
          </cell>
          <cell r="E1351">
            <v>423000</v>
          </cell>
          <cell r="F1351">
            <v>105750</v>
          </cell>
          <cell r="G1351">
            <v>8812.5</v>
          </cell>
          <cell r="H1351">
            <v>10000</v>
          </cell>
          <cell r="I1351" t="str">
            <v>bks</v>
          </cell>
          <cell r="J1351">
            <v>10000</v>
          </cell>
          <cell r="K1351" t="str">
            <v>bks</v>
          </cell>
          <cell r="L1351">
            <v>9500</v>
          </cell>
          <cell r="M1351" t="str">
            <v>bks</v>
          </cell>
        </row>
        <row r="1352">
          <cell r="A1352" t="str">
            <v>SASA50</v>
          </cell>
          <cell r="B1352" t="str">
            <v>Sasa 50 gr</v>
          </cell>
          <cell r="C1352">
            <v>20</v>
          </cell>
          <cell r="D1352" t="str">
            <v>pcs</v>
          </cell>
          <cell r="E1352">
            <v>42000</v>
          </cell>
          <cell r="F1352">
            <v>449000</v>
          </cell>
          <cell r="G1352">
            <v>2100</v>
          </cell>
          <cell r="H1352">
            <v>3000</v>
          </cell>
          <cell r="I1352" t="str">
            <v>bks</v>
          </cell>
          <cell r="J1352">
            <v>3000</v>
          </cell>
          <cell r="K1352" t="str">
            <v>bks</v>
          </cell>
          <cell r="L1352">
            <v>3000</v>
          </cell>
          <cell r="M1352" t="str">
            <v>bks</v>
          </cell>
          <cell r="Q1352">
            <v>44000</v>
          </cell>
          <cell r="R1352">
            <v>20</v>
          </cell>
          <cell r="S1352" t="str">
            <v>pak</v>
          </cell>
        </row>
        <row r="1353">
          <cell r="A1353" t="str">
            <v>SASA500</v>
          </cell>
          <cell r="B1353" t="str">
            <v>Sasa 500 gr</v>
          </cell>
          <cell r="C1353">
            <v>24</v>
          </cell>
          <cell r="D1353" t="str">
            <v>pcs</v>
          </cell>
          <cell r="E1353">
            <v>403000</v>
          </cell>
          <cell r="F1353">
            <v>201500</v>
          </cell>
          <cell r="G1353">
            <v>16791.666666666668</v>
          </cell>
          <cell r="H1353">
            <v>18000</v>
          </cell>
          <cell r="I1353" t="str">
            <v>pcs</v>
          </cell>
          <cell r="J1353">
            <v>17500</v>
          </cell>
          <cell r="K1353" t="str">
            <v>pc</v>
          </cell>
          <cell r="L1353">
            <v>17300</v>
          </cell>
          <cell r="M1353" t="str">
            <v>pc</v>
          </cell>
        </row>
        <row r="1354">
          <cell r="A1354" t="str">
            <v>SASAP</v>
          </cell>
          <cell r="B1354" t="str">
            <v>SAMBAL SASA PAK</v>
          </cell>
          <cell r="C1354">
            <v>40</v>
          </cell>
          <cell r="D1354" t="str">
            <v>pcs</v>
          </cell>
          <cell r="E1354">
            <v>220000</v>
          </cell>
          <cell r="F1354">
            <v>66000</v>
          </cell>
          <cell r="G1354">
            <v>5500</v>
          </cell>
          <cell r="H1354">
            <v>6500</v>
          </cell>
          <cell r="I1354" t="str">
            <v>pak</v>
          </cell>
          <cell r="J1354">
            <v>6500</v>
          </cell>
          <cell r="K1354" t="str">
            <v>pak</v>
          </cell>
          <cell r="L1354">
            <v>6000</v>
          </cell>
          <cell r="M1354" t="str">
            <v>pak</v>
          </cell>
        </row>
        <row r="1355">
          <cell r="A1355" t="str">
            <v>SASAK</v>
          </cell>
          <cell r="B1355" t="str">
            <v>SASA KALDU AYAM 250</v>
          </cell>
          <cell r="C1355">
            <v>24</v>
          </cell>
          <cell r="D1355" t="str">
            <v>pcs</v>
          </cell>
          <cell r="E1355">
            <v>151200</v>
          </cell>
          <cell r="F1355">
            <v>75600</v>
          </cell>
          <cell r="G1355">
            <v>6300</v>
          </cell>
          <cell r="H1355">
            <v>7500</v>
          </cell>
          <cell r="I1355" t="str">
            <v>bks</v>
          </cell>
          <cell r="J1355">
            <v>7000</v>
          </cell>
          <cell r="K1355" t="str">
            <v>bks</v>
          </cell>
          <cell r="L1355">
            <v>6800</v>
          </cell>
          <cell r="M1355" t="str">
            <v>bks</v>
          </cell>
          <cell r="T1355">
            <v>79000</v>
          </cell>
          <cell r="U1355">
            <v>12</v>
          </cell>
          <cell r="V1355" t="str">
            <v>lsn</v>
          </cell>
          <cell r="W1355">
            <v>6600</v>
          </cell>
          <cell r="X1355" t="str">
            <v>bks</v>
          </cell>
          <cell r="Y1355">
            <v>6700</v>
          </cell>
          <cell r="Z1355" t="str">
            <v>bks</v>
          </cell>
        </row>
        <row r="1356">
          <cell r="A1356" t="str">
            <v>SASAAYAM</v>
          </cell>
          <cell r="B1356" t="str">
            <v>Sasa Bumbu Ayam Goreng</v>
          </cell>
          <cell r="C1356">
            <v>10</v>
          </cell>
          <cell r="D1356" t="str">
            <v>pcs</v>
          </cell>
          <cell r="E1356">
            <v>17000</v>
          </cell>
          <cell r="F1356">
            <v>204000</v>
          </cell>
          <cell r="G1356">
            <v>1700</v>
          </cell>
        </row>
        <row r="1357">
          <cell r="A1357" t="str">
            <v>SASA80</v>
          </cell>
          <cell r="B1357" t="str">
            <v xml:space="preserve">Sasa Tepung Bumbu Kentuky 80 gr </v>
          </cell>
          <cell r="C1357">
            <v>10</v>
          </cell>
          <cell r="D1357" t="str">
            <v>rtg</v>
          </cell>
          <cell r="E1357">
            <v>17500</v>
          </cell>
          <cell r="F1357">
            <v>210000</v>
          </cell>
          <cell r="G1357">
            <v>1750</v>
          </cell>
          <cell r="H1357">
            <v>2500</v>
          </cell>
          <cell r="I1357" t="str">
            <v>pc</v>
          </cell>
          <cell r="J1357">
            <v>2500</v>
          </cell>
          <cell r="K1357" t="str">
            <v>pc</v>
          </cell>
          <cell r="N1357">
            <v>19500</v>
          </cell>
          <cell r="O1357" t="str">
            <v>rtg</v>
          </cell>
        </row>
        <row r="1358">
          <cell r="A1358" t="str">
            <v>SASA850</v>
          </cell>
          <cell r="B1358" t="str">
            <v xml:space="preserve">Sasa Tepung Bumbu Kentuky 850 gr </v>
          </cell>
          <cell r="C1358">
            <v>12</v>
          </cell>
          <cell r="D1358" t="str">
            <v>pak</v>
          </cell>
          <cell r="E1358">
            <v>210000</v>
          </cell>
          <cell r="G1358">
            <v>17500</v>
          </cell>
          <cell r="H1358">
            <v>19000</v>
          </cell>
          <cell r="I1358" t="str">
            <v>pc</v>
          </cell>
          <cell r="J1358">
            <v>18500</v>
          </cell>
          <cell r="K1358" t="str">
            <v>pc</v>
          </cell>
        </row>
        <row r="1359">
          <cell r="A1359" t="str">
            <v>SASA225</v>
          </cell>
          <cell r="B1359" t="str">
            <v xml:space="preserve">Sasa Tepung Bumbu Bakwan 225 gr </v>
          </cell>
          <cell r="C1359">
            <v>24</v>
          </cell>
          <cell r="D1359" t="str">
            <v>pc</v>
          </cell>
          <cell r="E1359">
            <v>117600</v>
          </cell>
          <cell r="G1359">
            <v>4900</v>
          </cell>
          <cell r="H1359">
            <v>6000</v>
          </cell>
          <cell r="I1359" t="str">
            <v>pc</v>
          </cell>
          <cell r="J1359">
            <v>6000</v>
          </cell>
          <cell r="K1359" t="str">
            <v>pc</v>
          </cell>
          <cell r="L1359">
            <v>5500</v>
          </cell>
          <cell r="M1359" t="str">
            <v>pc</v>
          </cell>
        </row>
        <row r="1360">
          <cell r="A1360" t="str">
            <v>SAKURAK</v>
          </cell>
          <cell r="B1360" t="str">
            <v>MI SAKURA KUAH</v>
          </cell>
          <cell r="C1360">
            <v>40</v>
          </cell>
          <cell r="D1360" t="str">
            <v>dos</v>
          </cell>
          <cell r="E1360">
            <v>45500</v>
          </cell>
          <cell r="F1360">
            <v>13650</v>
          </cell>
          <cell r="G1360">
            <v>1137.5</v>
          </cell>
          <cell r="H1360">
            <v>1500</v>
          </cell>
          <cell r="I1360" t="str">
            <v>bks</v>
          </cell>
          <cell r="J1360">
            <v>1500</v>
          </cell>
          <cell r="K1360" t="str">
            <v>bks</v>
          </cell>
          <cell r="L1360">
            <v>1500</v>
          </cell>
          <cell r="M1360" t="str">
            <v>bks</v>
          </cell>
          <cell r="W1360">
            <v>1500</v>
          </cell>
          <cell r="X1360" t="str">
            <v>bks</v>
          </cell>
          <cell r="Y1360">
            <v>1500</v>
          </cell>
          <cell r="Z1360" t="str">
            <v>bks</v>
          </cell>
          <cell r="AA1360">
            <v>47000</v>
          </cell>
          <cell r="AB1360" t="str">
            <v>dos</v>
          </cell>
        </row>
        <row r="1361">
          <cell r="A1361" t="str">
            <v>SAKURAG</v>
          </cell>
          <cell r="B1361" t="str">
            <v>MI SAKURA GORENG</v>
          </cell>
          <cell r="C1361">
            <v>40</v>
          </cell>
          <cell r="D1361" t="str">
            <v>dos</v>
          </cell>
          <cell r="E1361">
            <v>55000</v>
          </cell>
          <cell r="G1361">
            <v>1375</v>
          </cell>
          <cell r="H1361">
            <v>1500</v>
          </cell>
          <cell r="I1361" t="str">
            <v>bks</v>
          </cell>
          <cell r="J1361">
            <v>1500</v>
          </cell>
          <cell r="K1361" t="str">
            <v>bks</v>
          </cell>
          <cell r="L1361">
            <v>1500</v>
          </cell>
          <cell r="M1361" t="str">
            <v>bks</v>
          </cell>
          <cell r="W1361">
            <v>1500</v>
          </cell>
          <cell r="X1361" t="str">
            <v>bks</v>
          </cell>
          <cell r="Y1361">
            <v>1500</v>
          </cell>
          <cell r="Z1361" t="str">
            <v>bks</v>
          </cell>
          <cell r="AA1361">
            <v>57000</v>
          </cell>
          <cell r="AB1361" t="str">
            <v>dos</v>
          </cell>
        </row>
        <row r="1362">
          <cell r="A1362" t="str">
            <v>SELASIH</v>
          </cell>
          <cell r="B1362" t="str">
            <v>SELASIH Renteng</v>
          </cell>
          <cell r="C1362">
            <v>10</v>
          </cell>
          <cell r="D1362" t="str">
            <v>dos</v>
          </cell>
          <cell r="E1362">
            <v>35000</v>
          </cell>
          <cell r="G1362">
            <v>3500</v>
          </cell>
          <cell r="H1362">
            <v>4500</v>
          </cell>
          <cell r="I1362" t="str">
            <v>bks</v>
          </cell>
          <cell r="J1362">
            <v>4300</v>
          </cell>
          <cell r="K1362" t="str">
            <v>bks</v>
          </cell>
          <cell r="L1362">
            <v>4000</v>
          </cell>
          <cell r="M1362" t="str">
            <v>bks</v>
          </cell>
          <cell r="N1362">
            <v>37500</v>
          </cell>
          <cell r="P1362" t="str">
            <v>rtg</v>
          </cell>
        </row>
        <row r="1363">
          <cell r="A1363" t="str">
            <v>SALEP</v>
          </cell>
          <cell r="B1363" t="str">
            <v>Salep Pikang Suang</v>
          </cell>
          <cell r="C1363">
            <v>20</v>
          </cell>
          <cell r="D1363" t="str">
            <v>pcs</v>
          </cell>
          <cell r="E1363">
            <v>220000</v>
          </cell>
          <cell r="F1363">
            <v>132000</v>
          </cell>
          <cell r="G1363">
            <v>11000</v>
          </cell>
          <cell r="H1363">
            <v>13000</v>
          </cell>
          <cell r="I1363" t="str">
            <v>bks</v>
          </cell>
          <cell r="J1363">
            <v>13000</v>
          </cell>
          <cell r="K1363" t="str">
            <v>bks</v>
          </cell>
          <cell r="L1363">
            <v>12000</v>
          </cell>
          <cell r="M1363" t="str">
            <v>bks</v>
          </cell>
          <cell r="T1363">
            <v>138000</v>
          </cell>
          <cell r="U1363">
            <v>12</v>
          </cell>
          <cell r="V1363" t="str">
            <v>lsn</v>
          </cell>
          <cell r="W1363">
            <v>11400</v>
          </cell>
          <cell r="X1363" t="str">
            <v>pc</v>
          </cell>
          <cell r="Y1363">
            <v>11500</v>
          </cell>
          <cell r="Z1363" t="str">
            <v>pc</v>
          </cell>
        </row>
        <row r="1364">
          <cell r="A1364" t="str">
            <v>SBASO</v>
          </cell>
          <cell r="B1364" t="str">
            <v>Sedap Baso Special</v>
          </cell>
          <cell r="C1364">
            <v>40</v>
          </cell>
          <cell r="D1364" t="str">
            <v>pcs</v>
          </cell>
          <cell r="E1364">
            <v>93000</v>
          </cell>
          <cell r="F1364">
            <v>27900</v>
          </cell>
          <cell r="G1364">
            <v>2325</v>
          </cell>
          <cell r="H1364">
            <v>2500</v>
          </cell>
          <cell r="I1364" t="str">
            <v>bks</v>
          </cell>
          <cell r="J1364">
            <v>2500</v>
          </cell>
          <cell r="K1364" t="str">
            <v>bks</v>
          </cell>
          <cell r="L1364">
            <v>2500</v>
          </cell>
          <cell r="M1364" t="str">
            <v>bks</v>
          </cell>
          <cell r="AA1364">
            <v>95000</v>
          </cell>
          <cell r="AB1364" t="str">
            <v>dos</v>
          </cell>
        </row>
        <row r="1365">
          <cell r="A1365" t="str">
            <v>SEBLAK</v>
          </cell>
          <cell r="B1365" t="str">
            <v>MI SEBLAK</v>
          </cell>
          <cell r="C1365">
            <v>24</v>
          </cell>
          <cell r="D1365" t="str">
            <v>dos</v>
          </cell>
          <cell r="E1365">
            <v>91000</v>
          </cell>
          <cell r="F1365">
            <v>45500</v>
          </cell>
          <cell r="G1365">
            <v>3791.6666666666665</v>
          </cell>
          <cell r="H1365">
            <v>5000</v>
          </cell>
          <cell r="I1365" t="str">
            <v>bks</v>
          </cell>
          <cell r="J1365">
            <v>4500</v>
          </cell>
          <cell r="K1365" t="str">
            <v>bks</v>
          </cell>
          <cell r="L1365">
            <v>4500</v>
          </cell>
          <cell r="M1365" t="str">
            <v>bks</v>
          </cell>
          <cell r="Y1365">
            <v>4500</v>
          </cell>
          <cell r="Z1365" t="str">
            <v>pc</v>
          </cell>
          <cell r="AA1365">
            <v>95000</v>
          </cell>
          <cell r="AB1365" t="str">
            <v>dos</v>
          </cell>
        </row>
        <row r="1366">
          <cell r="A1366" t="str">
            <v>SGORENG</v>
          </cell>
          <cell r="B1366" t="str">
            <v>Sedap Goreng</v>
          </cell>
          <cell r="C1366">
            <v>40</v>
          </cell>
          <cell r="D1366" t="str">
            <v>dos</v>
          </cell>
          <cell r="E1366">
            <v>100000</v>
          </cell>
          <cell r="F1366">
            <v>30000</v>
          </cell>
          <cell r="G1366">
            <v>2500</v>
          </cell>
          <cell r="H1366">
            <v>3000</v>
          </cell>
          <cell r="I1366" t="str">
            <v>bks</v>
          </cell>
          <cell r="J1366">
            <v>3000</v>
          </cell>
          <cell r="K1366" t="str">
            <v>bks</v>
          </cell>
          <cell r="L1366">
            <v>3000</v>
          </cell>
          <cell r="M1366" t="str">
            <v>bks</v>
          </cell>
          <cell r="W1366">
            <v>2500</v>
          </cell>
          <cell r="X1366" t="str">
            <v>bks</v>
          </cell>
          <cell r="Y1366">
            <v>2500</v>
          </cell>
          <cell r="Z1366" t="str">
            <v>bks</v>
          </cell>
          <cell r="AA1366">
            <v>106000</v>
          </cell>
          <cell r="AB1366" t="str">
            <v>dos</v>
          </cell>
        </row>
        <row r="1367">
          <cell r="A1367" t="str">
            <v>SCRISPY</v>
          </cell>
          <cell r="B1367" t="str">
            <v>Sedap Goreng Ayam crispy</v>
          </cell>
          <cell r="C1367">
            <v>40</v>
          </cell>
          <cell r="D1367" t="str">
            <v>dos</v>
          </cell>
          <cell r="E1367">
            <v>92910</v>
          </cell>
          <cell r="F1367">
            <v>27873</v>
          </cell>
          <cell r="G1367">
            <v>2322.75</v>
          </cell>
          <cell r="AB1367" t="str">
            <v>dos</v>
          </cell>
        </row>
        <row r="1368">
          <cell r="A1368" t="str">
            <v>SKARI</v>
          </cell>
          <cell r="B1368" t="str">
            <v>Sedap Kari</v>
          </cell>
          <cell r="C1368">
            <v>40</v>
          </cell>
          <cell r="D1368" t="str">
            <v>dos</v>
          </cell>
          <cell r="E1368">
            <v>89510</v>
          </cell>
          <cell r="F1368">
            <v>26853</v>
          </cell>
          <cell r="G1368">
            <v>2237.75</v>
          </cell>
          <cell r="H1368">
            <v>2500</v>
          </cell>
          <cell r="I1368" t="str">
            <v>bks</v>
          </cell>
          <cell r="K1368" t="str">
            <v>bks</v>
          </cell>
          <cell r="L1368">
            <v>2500</v>
          </cell>
          <cell r="M1368" t="str">
            <v>bks</v>
          </cell>
          <cell r="AB1368" t="str">
            <v>dos</v>
          </cell>
        </row>
        <row r="1369">
          <cell r="A1369" t="str">
            <v>SKARISP</v>
          </cell>
          <cell r="B1369" t="str">
            <v>Sedap Kari Special</v>
          </cell>
          <cell r="C1369">
            <v>40</v>
          </cell>
          <cell r="D1369" t="str">
            <v>dos</v>
          </cell>
          <cell r="E1369">
            <v>89510</v>
          </cell>
          <cell r="F1369">
            <v>26853</v>
          </cell>
          <cell r="G1369">
            <v>2237.75</v>
          </cell>
          <cell r="H1369">
            <v>2500</v>
          </cell>
          <cell r="I1369" t="str">
            <v>bks</v>
          </cell>
          <cell r="J1369">
            <v>2500</v>
          </cell>
          <cell r="K1369" t="str">
            <v>bks</v>
          </cell>
          <cell r="L1369">
            <v>2500</v>
          </cell>
          <cell r="M1369" t="str">
            <v>bks</v>
          </cell>
          <cell r="AB1369" t="str">
            <v>dos</v>
          </cell>
        </row>
        <row r="1370">
          <cell r="A1370" t="str">
            <v>SSOTO</v>
          </cell>
          <cell r="B1370" t="str">
            <v>Sedap Soto</v>
          </cell>
          <cell r="C1370">
            <v>40</v>
          </cell>
          <cell r="D1370" t="str">
            <v>dos</v>
          </cell>
          <cell r="E1370">
            <v>93160</v>
          </cell>
          <cell r="F1370">
            <v>27948</v>
          </cell>
          <cell r="G1370">
            <v>2329</v>
          </cell>
          <cell r="H1370">
            <v>2500</v>
          </cell>
          <cell r="I1370" t="str">
            <v>bks</v>
          </cell>
          <cell r="J1370">
            <v>2500</v>
          </cell>
          <cell r="K1370" t="str">
            <v>bks</v>
          </cell>
          <cell r="L1370">
            <v>2500</v>
          </cell>
          <cell r="M1370" t="str">
            <v>bks</v>
          </cell>
          <cell r="AA1370">
            <v>95000</v>
          </cell>
          <cell r="AB1370" t="str">
            <v>dos</v>
          </cell>
        </row>
        <row r="1371">
          <cell r="A1371" t="str">
            <v>SABRINA2</v>
          </cell>
          <cell r="B1371" t="str">
            <v>Minyak Sabrina 2 Liter</v>
          </cell>
          <cell r="C1371">
            <v>6</v>
          </cell>
          <cell r="D1371" t="str">
            <v>dos</v>
          </cell>
          <cell r="E1371">
            <v>172700</v>
          </cell>
          <cell r="G1371">
            <v>28783.333333333332</v>
          </cell>
          <cell r="H1371">
            <v>29500</v>
          </cell>
          <cell r="I1371" t="str">
            <v>bks</v>
          </cell>
          <cell r="J1371">
            <v>29300</v>
          </cell>
          <cell r="K1371" t="str">
            <v>bks</v>
          </cell>
          <cell r="L1371">
            <v>29300</v>
          </cell>
          <cell r="M1371" t="str">
            <v>bks</v>
          </cell>
          <cell r="AA1371">
            <v>175000</v>
          </cell>
          <cell r="AB1371" t="str">
            <v>dos</v>
          </cell>
        </row>
        <row r="1372">
          <cell r="A1372" t="str">
            <v>SABRINA1</v>
          </cell>
          <cell r="B1372" t="str">
            <v>Minyak Sabrina 1 Liter</v>
          </cell>
          <cell r="C1372">
            <v>12</v>
          </cell>
          <cell r="D1372" t="str">
            <v>dos</v>
          </cell>
          <cell r="E1372">
            <v>173000</v>
          </cell>
          <cell r="G1372">
            <v>14416.666666666666</v>
          </cell>
          <cell r="H1372">
            <v>15000</v>
          </cell>
          <cell r="I1372" t="str">
            <v>bks</v>
          </cell>
          <cell r="J1372">
            <v>14800</v>
          </cell>
          <cell r="K1372" t="str">
            <v>bks</v>
          </cell>
          <cell r="L1372">
            <v>14700</v>
          </cell>
          <cell r="M1372" t="str">
            <v>bks</v>
          </cell>
          <cell r="AA1372">
            <v>176000</v>
          </cell>
          <cell r="AB1372" t="str">
            <v>dos</v>
          </cell>
        </row>
        <row r="1373">
          <cell r="A1373" t="str">
            <v>SEDAP1</v>
          </cell>
          <cell r="B1373" t="str">
            <v>Minyak Sedap 1 Liter</v>
          </cell>
          <cell r="C1373">
            <v>12</v>
          </cell>
          <cell r="D1373" t="str">
            <v>dos</v>
          </cell>
          <cell r="E1373">
            <v>177500</v>
          </cell>
          <cell r="G1373">
            <v>14791.666666666666</v>
          </cell>
        </row>
        <row r="1374">
          <cell r="A1374" t="str">
            <v>SEDAP2</v>
          </cell>
          <cell r="B1374" t="str">
            <v>Minyak Sedap 2 Liter</v>
          </cell>
          <cell r="C1374">
            <v>6</v>
          </cell>
          <cell r="D1374" t="str">
            <v>dos</v>
          </cell>
          <cell r="E1374">
            <v>170250</v>
          </cell>
          <cell r="G1374">
            <v>28375</v>
          </cell>
        </row>
        <row r="1375">
          <cell r="A1375" t="str">
            <v>SEDAP5</v>
          </cell>
          <cell r="B1375" t="str">
            <v>Minyak Sedap 5 Liter</v>
          </cell>
          <cell r="C1375">
            <v>4</v>
          </cell>
          <cell r="D1375" t="str">
            <v>dos</v>
          </cell>
          <cell r="E1375">
            <v>299500</v>
          </cell>
          <cell r="G1375">
            <v>74875</v>
          </cell>
        </row>
        <row r="1376">
          <cell r="A1376" t="str">
            <v>SEDAP20</v>
          </cell>
          <cell r="B1376" t="str">
            <v>Minyak Sedap 20 Liter</v>
          </cell>
          <cell r="C1376">
            <v>1</v>
          </cell>
          <cell r="D1376" t="str">
            <v>dos</v>
          </cell>
          <cell r="E1376">
            <v>244800</v>
          </cell>
          <cell r="G1376">
            <v>244800</v>
          </cell>
          <cell r="AA1376">
            <v>220000</v>
          </cell>
        </row>
        <row r="1377">
          <cell r="A1377" t="str">
            <v>SERES</v>
          </cell>
          <cell r="B1377" t="str">
            <v>Seres Kiloan</v>
          </cell>
          <cell r="C1377">
            <v>12</v>
          </cell>
          <cell r="D1377" t="str">
            <v>kg</v>
          </cell>
          <cell r="E1377">
            <v>215000</v>
          </cell>
          <cell r="G1377">
            <v>17916.666666666668</v>
          </cell>
          <cell r="H1377">
            <v>21000</v>
          </cell>
          <cell r="I1377" t="str">
            <v>kg</v>
          </cell>
        </row>
        <row r="1378">
          <cell r="A1378" t="str">
            <v>CERES</v>
          </cell>
          <cell r="B1378" t="str">
            <v>Ceres 90 gr</v>
          </cell>
          <cell r="C1378">
            <v>12</v>
          </cell>
          <cell r="D1378" t="str">
            <v>pc</v>
          </cell>
          <cell r="E1378">
            <v>102300</v>
          </cell>
          <cell r="G1378">
            <v>8525</v>
          </cell>
          <cell r="H1378">
            <v>9500</v>
          </cell>
          <cell r="I1378" t="str">
            <v>pc</v>
          </cell>
          <cell r="J1378">
            <v>9500</v>
          </cell>
          <cell r="K1378" t="str">
            <v>pc</v>
          </cell>
        </row>
        <row r="1379">
          <cell r="A1379" t="str">
            <v>SERA340</v>
          </cell>
          <cell r="B1379" t="str">
            <v>Shampo SARASOFT 340 ml</v>
          </cell>
          <cell r="C1379">
            <v>6</v>
          </cell>
          <cell r="D1379" t="str">
            <v>btl</v>
          </cell>
          <cell r="E1379">
            <v>191250</v>
          </cell>
          <cell r="G1379">
            <v>31875</v>
          </cell>
          <cell r="H1379">
            <v>35000</v>
          </cell>
          <cell r="I1379" t="str">
            <v>btl</v>
          </cell>
          <cell r="J1379">
            <v>34500</v>
          </cell>
          <cell r="K1379" t="str">
            <v>btl</v>
          </cell>
          <cell r="L1379">
            <v>34000</v>
          </cell>
          <cell r="M1379" t="str">
            <v>btl</v>
          </cell>
        </row>
        <row r="1380">
          <cell r="A1380" t="str">
            <v>SERA170</v>
          </cell>
          <cell r="B1380" t="str">
            <v>Shampo SARASOFT 170 ml</v>
          </cell>
          <cell r="C1380">
            <v>12</v>
          </cell>
          <cell r="D1380" t="str">
            <v>btl</v>
          </cell>
          <cell r="E1380">
            <v>199800</v>
          </cell>
          <cell r="G1380">
            <v>16650</v>
          </cell>
          <cell r="H1380">
            <v>18500</v>
          </cell>
          <cell r="I1380" t="str">
            <v>btl</v>
          </cell>
          <cell r="J1380">
            <v>18000</v>
          </cell>
          <cell r="K1380" t="str">
            <v>btl</v>
          </cell>
          <cell r="L1380">
            <v>17800</v>
          </cell>
          <cell r="M1380" t="str">
            <v>btl</v>
          </cell>
        </row>
        <row r="1381">
          <cell r="A1381" t="str">
            <v>SERA70</v>
          </cell>
          <cell r="B1381" t="str">
            <v>Shampo SARASOFT 70 ml</v>
          </cell>
          <cell r="C1381">
            <v>12</v>
          </cell>
          <cell r="D1381" t="str">
            <v>btl</v>
          </cell>
          <cell r="E1381">
            <v>98700</v>
          </cell>
          <cell r="G1381">
            <v>8225</v>
          </cell>
          <cell r="H1381">
            <v>10000</v>
          </cell>
          <cell r="I1381" t="str">
            <v>btl</v>
          </cell>
          <cell r="J1381">
            <v>10000</v>
          </cell>
          <cell r="K1381" t="str">
            <v>btl</v>
          </cell>
          <cell r="L1381">
            <v>9500</v>
          </cell>
          <cell r="M1381" t="str">
            <v>btl</v>
          </cell>
        </row>
        <row r="1382">
          <cell r="A1382" t="str">
            <v>SERA1</v>
          </cell>
          <cell r="B1382" t="str">
            <v>Shampo SARASOFT 10 ml</v>
          </cell>
          <cell r="C1382">
            <v>12</v>
          </cell>
          <cell r="D1382" t="str">
            <v>rtg</v>
          </cell>
          <cell r="E1382">
            <v>9540</v>
          </cell>
          <cell r="G1382">
            <v>795</v>
          </cell>
          <cell r="N1382">
            <v>10500</v>
          </cell>
          <cell r="P1382" t="str">
            <v>rtg</v>
          </cell>
        </row>
        <row r="1383">
          <cell r="A1383" t="str">
            <v>ZINC170</v>
          </cell>
          <cell r="B1383" t="str">
            <v>Shampo Zinc 170 ml</v>
          </cell>
          <cell r="C1383">
            <v>6</v>
          </cell>
          <cell r="D1383" t="str">
            <v>btl</v>
          </cell>
          <cell r="E1383">
            <v>97500</v>
          </cell>
          <cell r="F1383">
            <v>195000</v>
          </cell>
          <cell r="G1383">
            <v>16250</v>
          </cell>
          <cell r="H1383">
            <v>18500</v>
          </cell>
          <cell r="I1383" t="str">
            <v>pc</v>
          </cell>
          <cell r="J1383">
            <v>18000</v>
          </cell>
          <cell r="K1383" t="str">
            <v>pc</v>
          </cell>
          <cell r="L1383">
            <v>17500</v>
          </cell>
          <cell r="M1383" t="str">
            <v>pc</v>
          </cell>
        </row>
        <row r="1384">
          <cell r="A1384" t="str">
            <v>ZINC70</v>
          </cell>
          <cell r="B1384" t="str">
            <v>Shampo Zinc 70 ml</v>
          </cell>
          <cell r="C1384">
            <v>12</v>
          </cell>
          <cell r="D1384" t="str">
            <v>btl</v>
          </cell>
          <cell r="E1384">
            <v>87156</v>
          </cell>
          <cell r="G1384">
            <v>7263</v>
          </cell>
          <cell r="H1384">
            <v>8500</v>
          </cell>
          <cell r="I1384" t="str">
            <v>pc</v>
          </cell>
          <cell r="J1384">
            <v>8500</v>
          </cell>
          <cell r="K1384" t="str">
            <v>pc</v>
          </cell>
          <cell r="L1384">
            <v>8000</v>
          </cell>
          <cell r="M1384" t="str">
            <v>pc</v>
          </cell>
        </row>
        <row r="1385">
          <cell r="A1385" t="str">
            <v>ZINC1</v>
          </cell>
          <cell r="B1385" t="str">
            <v>Shampo Zinc 12 ml renteng</v>
          </cell>
          <cell r="C1385">
            <v>12</v>
          </cell>
          <cell r="D1385" t="str">
            <v>rtg</v>
          </cell>
          <cell r="E1385">
            <v>4500</v>
          </cell>
          <cell r="G1385">
            <v>375</v>
          </cell>
          <cell r="N1385">
            <v>7000</v>
          </cell>
          <cell r="P1385" t="str">
            <v>rtg</v>
          </cell>
        </row>
        <row r="1386">
          <cell r="A1386" t="str">
            <v>POISE50</v>
          </cell>
          <cell r="B1386" t="str">
            <v>SABUN WAJAH POISE 50 GR</v>
          </cell>
          <cell r="C1386">
            <v>6</v>
          </cell>
          <cell r="D1386" t="str">
            <v>btl</v>
          </cell>
          <cell r="E1386">
            <v>69000</v>
          </cell>
          <cell r="G1386">
            <v>11500</v>
          </cell>
          <cell r="H1386">
            <v>14000</v>
          </cell>
          <cell r="I1386" t="str">
            <v>pc</v>
          </cell>
          <cell r="J1386">
            <v>14000</v>
          </cell>
          <cell r="K1386" t="str">
            <v>pc</v>
          </cell>
          <cell r="L1386">
            <v>14000</v>
          </cell>
          <cell r="M1386" t="str">
            <v>pc</v>
          </cell>
        </row>
        <row r="1387">
          <cell r="A1387" t="str">
            <v>POISE100</v>
          </cell>
          <cell r="B1387" t="str">
            <v>SABUN WAJAH POISE 100 GR</v>
          </cell>
          <cell r="C1387">
            <v>6</v>
          </cell>
          <cell r="D1387" t="str">
            <v>btl</v>
          </cell>
          <cell r="E1387">
            <v>114000</v>
          </cell>
          <cell r="G1387">
            <v>19000</v>
          </cell>
          <cell r="H1387">
            <v>22000</v>
          </cell>
          <cell r="I1387" t="str">
            <v>pc</v>
          </cell>
          <cell r="J1387">
            <v>22000</v>
          </cell>
          <cell r="K1387" t="str">
            <v>pc</v>
          </cell>
          <cell r="L1387">
            <v>21500</v>
          </cell>
          <cell r="M1387" t="str">
            <v>pc</v>
          </cell>
        </row>
        <row r="1388">
          <cell r="A1388" t="str">
            <v>LOVELY120</v>
          </cell>
          <cell r="B1388" t="str">
            <v>Lovely Hand And Body 120 ml</v>
          </cell>
          <cell r="C1388">
            <v>12</v>
          </cell>
          <cell r="D1388" t="str">
            <v>btl</v>
          </cell>
          <cell r="E1388">
            <v>52800</v>
          </cell>
          <cell r="G1388">
            <v>4400</v>
          </cell>
          <cell r="H1388">
            <v>6000</v>
          </cell>
          <cell r="I1388" t="str">
            <v>pc</v>
          </cell>
          <cell r="J1388">
            <v>5500</v>
          </cell>
          <cell r="K1388" t="str">
            <v>pc</v>
          </cell>
          <cell r="L1388">
            <v>5000</v>
          </cell>
          <cell r="M1388" t="str">
            <v>pc</v>
          </cell>
        </row>
        <row r="1389">
          <cell r="A1389" t="str">
            <v>LOVELY250</v>
          </cell>
          <cell r="B1389" t="str">
            <v>Lovely Hand And Body 250 ml</v>
          </cell>
          <cell r="C1389">
            <v>12</v>
          </cell>
          <cell r="D1389" t="str">
            <v>btl</v>
          </cell>
          <cell r="E1389">
            <v>84000</v>
          </cell>
          <cell r="G1389">
            <v>7000</v>
          </cell>
          <cell r="H1389">
            <v>9000</v>
          </cell>
          <cell r="I1389" t="str">
            <v>pc</v>
          </cell>
          <cell r="J1389">
            <v>8500</v>
          </cell>
          <cell r="K1389" t="str">
            <v>pc</v>
          </cell>
          <cell r="L1389">
            <v>8000</v>
          </cell>
          <cell r="M1389" t="str">
            <v>pc</v>
          </cell>
        </row>
        <row r="1390">
          <cell r="A1390" t="str">
            <v>LOVELY400</v>
          </cell>
          <cell r="B1390" t="str">
            <v>Lovely Hand And Body 400 ml</v>
          </cell>
          <cell r="C1390">
            <v>12</v>
          </cell>
          <cell r="D1390" t="str">
            <v>btl</v>
          </cell>
          <cell r="E1390">
            <v>149400</v>
          </cell>
          <cell r="G1390">
            <v>12450</v>
          </cell>
          <cell r="I1390" t="str">
            <v>pc</v>
          </cell>
          <cell r="K1390" t="str">
            <v>pc</v>
          </cell>
          <cell r="M1390" t="str">
            <v>pc</v>
          </cell>
        </row>
        <row r="1391">
          <cell r="A1391" t="str">
            <v>EMERONV</v>
          </cell>
          <cell r="B1391" t="str">
            <v xml:space="preserve">VITAMIN RAMBUT EMERON </v>
          </cell>
          <cell r="C1391">
            <v>12</v>
          </cell>
          <cell r="D1391" t="str">
            <v>pcs</v>
          </cell>
          <cell r="E1391">
            <v>67200</v>
          </cell>
          <cell r="G1391">
            <v>5600</v>
          </cell>
          <cell r="H1391">
            <v>7500</v>
          </cell>
          <cell r="I1391" t="str">
            <v>pc</v>
          </cell>
          <cell r="J1391">
            <v>7500</v>
          </cell>
          <cell r="K1391" t="str">
            <v>pc</v>
          </cell>
          <cell r="L1391">
            <v>7000</v>
          </cell>
          <cell r="M1391" t="str">
            <v>pc</v>
          </cell>
        </row>
        <row r="1392">
          <cell r="A1392" t="str">
            <v>EMERON100</v>
          </cell>
          <cell r="B1392" t="str">
            <v>EMERON Hand And Body 100 ml</v>
          </cell>
          <cell r="C1392">
            <v>12</v>
          </cell>
          <cell r="D1392" t="str">
            <v>pcs</v>
          </cell>
          <cell r="E1392">
            <v>35700</v>
          </cell>
          <cell r="G1392">
            <v>2975</v>
          </cell>
          <cell r="H1392">
            <v>4500</v>
          </cell>
          <cell r="I1392" t="str">
            <v>pc</v>
          </cell>
          <cell r="J1392">
            <v>4500</v>
          </cell>
          <cell r="K1392" t="str">
            <v>pc</v>
          </cell>
          <cell r="L1392">
            <v>4500</v>
          </cell>
          <cell r="M1392" t="str">
            <v>pc</v>
          </cell>
        </row>
        <row r="1393">
          <cell r="A1393" t="str">
            <v>EMERON80</v>
          </cell>
          <cell r="B1393" t="str">
            <v>Shampo EMERON 80 ml</v>
          </cell>
          <cell r="C1393">
            <v>12</v>
          </cell>
          <cell r="D1393" t="str">
            <v>btl</v>
          </cell>
          <cell r="E1393">
            <v>75900</v>
          </cell>
          <cell r="G1393">
            <v>6325</v>
          </cell>
          <cell r="H1393">
            <v>7500</v>
          </cell>
          <cell r="I1393" t="str">
            <v>pc</v>
          </cell>
          <cell r="J1393">
            <v>7500</v>
          </cell>
          <cell r="K1393" t="str">
            <v>pc</v>
          </cell>
          <cell r="L1393">
            <v>7000</v>
          </cell>
          <cell r="M1393" t="str">
            <v>pc</v>
          </cell>
        </row>
        <row r="1394">
          <cell r="A1394" t="str">
            <v>EMERON340</v>
          </cell>
          <cell r="B1394" t="str">
            <v>Shampo EMERON 340 ml</v>
          </cell>
          <cell r="C1394">
            <v>12</v>
          </cell>
          <cell r="D1394" t="str">
            <v>btl</v>
          </cell>
          <cell r="E1394">
            <v>315600</v>
          </cell>
          <cell r="G1394">
            <v>26300</v>
          </cell>
          <cell r="H1394">
            <v>29000</v>
          </cell>
          <cell r="I1394" t="str">
            <v>pc</v>
          </cell>
          <cell r="J1394">
            <v>28500</v>
          </cell>
          <cell r="K1394" t="str">
            <v>pc</v>
          </cell>
          <cell r="L1394">
            <v>28000</v>
          </cell>
          <cell r="M1394" t="str">
            <v>pc</v>
          </cell>
        </row>
        <row r="1395">
          <cell r="A1395" t="str">
            <v>EMERON1</v>
          </cell>
          <cell r="B1395" t="str">
            <v>Shampo EMERON 12 ml renteng</v>
          </cell>
          <cell r="C1395">
            <v>12</v>
          </cell>
          <cell r="D1395" t="str">
            <v>rtg</v>
          </cell>
          <cell r="E1395">
            <v>4500</v>
          </cell>
          <cell r="G1395">
            <v>375</v>
          </cell>
          <cell r="N1395">
            <v>6000</v>
          </cell>
          <cell r="P1395" t="str">
            <v>rtg</v>
          </cell>
        </row>
        <row r="1396">
          <cell r="A1396" t="str">
            <v>EMERONC170</v>
          </cell>
          <cell r="B1396" t="str">
            <v>CONDIONER EMERON 170 ml</v>
          </cell>
          <cell r="C1396">
            <v>6</v>
          </cell>
          <cell r="D1396" t="str">
            <v>btl</v>
          </cell>
          <cell r="E1396">
            <v>75600</v>
          </cell>
          <cell r="F1396">
            <v>151200</v>
          </cell>
          <cell r="G1396">
            <v>12600</v>
          </cell>
          <cell r="H1396">
            <v>18000</v>
          </cell>
          <cell r="I1396" t="str">
            <v>pc</v>
          </cell>
          <cell r="J1396">
            <v>17500</v>
          </cell>
          <cell r="K1396" t="str">
            <v>pc</v>
          </cell>
          <cell r="M1396" t="str">
            <v>pc</v>
          </cell>
        </row>
        <row r="1397">
          <cell r="A1397" t="str">
            <v>EMERONS170</v>
          </cell>
          <cell r="B1397" t="str">
            <v>Shampo EMERON 170 ml</v>
          </cell>
          <cell r="C1397">
            <v>6</v>
          </cell>
          <cell r="D1397" t="str">
            <v>btl</v>
          </cell>
          <cell r="E1397">
            <v>81000</v>
          </cell>
          <cell r="F1397">
            <v>162000</v>
          </cell>
          <cell r="G1397">
            <v>13500</v>
          </cell>
          <cell r="H1397">
            <v>15000</v>
          </cell>
          <cell r="I1397" t="str">
            <v>pc</v>
          </cell>
          <cell r="J1397">
            <v>14500</v>
          </cell>
          <cell r="K1397" t="str">
            <v>pc</v>
          </cell>
          <cell r="L1397">
            <v>14000</v>
          </cell>
          <cell r="M1397" t="str">
            <v>pc</v>
          </cell>
        </row>
        <row r="1398">
          <cell r="A1398" t="str">
            <v>HEAD170</v>
          </cell>
          <cell r="B1398" t="str">
            <v>Shampo Head &amp; Shoulder 170</v>
          </cell>
          <cell r="C1398">
            <v>6</v>
          </cell>
          <cell r="D1398" t="str">
            <v>btl</v>
          </cell>
          <cell r="E1398">
            <v>117000</v>
          </cell>
          <cell r="F1398">
            <v>234000</v>
          </cell>
          <cell r="G1398">
            <v>19500</v>
          </cell>
          <cell r="H1398">
            <v>21000</v>
          </cell>
          <cell r="I1398" t="str">
            <v>pc</v>
          </cell>
          <cell r="J1398">
            <v>20500</v>
          </cell>
          <cell r="K1398" t="str">
            <v>pc</v>
          </cell>
          <cell r="L1398">
            <v>19900</v>
          </cell>
          <cell r="M1398" t="str">
            <v>pc</v>
          </cell>
          <cell r="T1398">
            <v>237000</v>
          </cell>
          <cell r="U1398">
            <v>12</v>
          </cell>
          <cell r="V1398" t="str">
            <v>lsn</v>
          </cell>
          <cell r="W1398">
            <v>19700</v>
          </cell>
          <cell r="X1398" t="str">
            <v>pc</v>
          </cell>
          <cell r="Y1398">
            <v>19750</v>
          </cell>
          <cell r="Z1398" t="str">
            <v>pc</v>
          </cell>
        </row>
        <row r="1399">
          <cell r="A1399" t="str">
            <v>HEAD340</v>
          </cell>
          <cell r="B1399" t="str">
            <v>Shampo Head &amp; Shoulder 340</v>
          </cell>
          <cell r="C1399">
            <v>1</v>
          </cell>
          <cell r="D1399" t="str">
            <v>btl</v>
          </cell>
          <cell r="E1399">
            <v>30000</v>
          </cell>
          <cell r="G1399">
            <v>30000</v>
          </cell>
          <cell r="I1399" t="str">
            <v>pc</v>
          </cell>
          <cell r="K1399" t="str">
            <v>pc</v>
          </cell>
          <cell r="M1399" t="str">
            <v>pc</v>
          </cell>
        </row>
        <row r="1400">
          <cell r="A1400" t="str">
            <v>HEAD75</v>
          </cell>
          <cell r="B1400" t="str">
            <v>Shampo Head &amp; Shoulder 75</v>
          </cell>
          <cell r="C1400">
            <v>6</v>
          </cell>
          <cell r="D1400" t="str">
            <v>btl</v>
          </cell>
          <cell r="E1400">
            <v>54000</v>
          </cell>
          <cell r="F1400">
            <v>108000</v>
          </cell>
          <cell r="G1400">
            <v>9000</v>
          </cell>
          <cell r="H1400">
            <v>10000</v>
          </cell>
          <cell r="I1400" t="str">
            <v>pc</v>
          </cell>
          <cell r="J1400">
            <v>9700</v>
          </cell>
          <cell r="K1400" t="str">
            <v>pc</v>
          </cell>
          <cell r="L1400">
            <v>9500</v>
          </cell>
          <cell r="M1400" t="str">
            <v>pc</v>
          </cell>
          <cell r="T1400">
            <v>112000</v>
          </cell>
          <cell r="U1400">
            <v>12</v>
          </cell>
          <cell r="V1400" t="str">
            <v>lsn</v>
          </cell>
          <cell r="W1400">
            <v>9300</v>
          </cell>
          <cell r="X1400" t="str">
            <v>btl</v>
          </cell>
          <cell r="Y1400">
            <v>9333.3333333333339</v>
          </cell>
          <cell r="Z1400" t="str">
            <v>btl</v>
          </cell>
        </row>
        <row r="1401">
          <cell r="A1401" t="str">
            <v>HEAD1</v>
          </cell>
          <cell r="B1401" t="str">
            <v>Shampo Head &amp; Shoulder renteng</v>
          </cell>
          <cell r="C1401">
            <v>12</v>
          </cell>
          <cell r="D1401" t="str">
            <v>pak</v>
          </cell>
          <cell r="E1401">
            <v>9300</v>
          </cell>
          <cell r="G1401">
            <v>775</v>
          </cell>
          <cell r="I1401" t="str">
            <v>pc</v>
          </cell>
          <cell r="K1401" t="str">
            <v>pc</v>
          </cell>
          <cell r="M1401" t="str">
            <v>pc</v>
          </cell>
          <cell r="N1401">
            <v>11000</v>
          </cell>
          <cell r="O1401">
            <v>12</v>
          </cell>
          <cell r="P1401" t="str">
            <v>rtg</v>
          </cell>
        </row>
        <row r="1402">
          <cell r="A1402" t="str">
            <v>ALLIN1</v>
          </cell>
          <cell r="B1402" t="str">
            <v>Soklin All In One 900 gr</v>
          </cell>
          <cell r="C1402">
            <v>12</v>
          </cell>
          <cell r="D1402" t="str">
            <v>pcs</v>
          </cell>
          <cell r="E1402">
            <v>164100</v>
          </cell>
          <cell r="G1402">
            <v>13675</v>
          </cell>
          <cell r="H1402">
            <v>15000</v>
          </cell>
          <cell r="I1402" t="str">
            <v>pc</v>
          </cell>
          <cell r="J1402">
            <v>14900</v>
          </cell>
          <cell r="K1402" t="str">
            <v>pc</v>
          </cell>
          <cell r="L1402">
            <v>14400</v>
          </cell>
          <cell r="M1402" t="str">
            <v>pc</v>
          </cell>
          <cell r="T1402">
            <v>167000</v>
          </cell>
          <cell r="U1402">
            <v>12</v>
          </cell>
          <cell r="V1402" t="str">
            <v>lsn</v>
          </cell>
          <cell r="Y1402">
            <v>14000</v>
          </cell>
          <cell r="Z1402" t="str">
            <v>pc</v>
          </cell>
        </row>
        <row r="1403">
          <cell r="A1403" t="str">
            <v>SLANTAI900B</v>
          </cell>
          <cell r="B1403" t="str">
            <v>Soklin Lantai 900 ml Botol</v>
          </cell>
          <cell r="C1403">
            <v>6</v>
          </cell>
          <cell r="D1403" t="str">
            <v>pcs</v>
          </cell>
          <cell r="E1403">
            <v>71586</v>
          </cell>
          <cell r="F1403">
            <v>143172</v>
          </cell>
          <cell r="G1403">
            <v>11931</v>
          </cell>
          <cell r="H1403">
            <v>13000</v>
          </cell>
          <cell r="I1403" t="str">
            <v>pc</v>
          </cell>
          <cell r="J1403">
            <v>13000</v>
          </cell>
          <cell r="K1403" t="str">
            <v>pc</v>
          </cell>
          <cell r="L1403">
            <v>12600</v>
          </cell>
          <cell r="M1403" t="str">
            <v>pc</v>
          </cell>
        </row>
        <row r="1404">
          <cell r="A1404" t="str">
            <v>SLANTAI800R</v>
          </cell>
          <cell r="B1404" t="str">
            <v>Soklin Lantai 800 ml Refill</v>
          </cell>
          <cell r="C1404">
            <v>12</v>
          </cell>
          <cell r="D1404" t="str">
            <v>pcs</v>
          </cell>
          <cell r="E1404">
            <v>114300</v>
          </cell>
          <cell r="G1404">
            <v>9525</v>
          </cell>
          <cell r="H1404">
            <v>11000</v>
          </cell>
          <cell r="I1404" t="str">
            <v>pc</v>
          </cell>
          <cell r="J1404">
            <v>11000</v>
          </cell>
          <cell r="K1404" t="str">
            <v>pc</v>
          </cell>
          <cell r="L1404">
            <v>10500</v>
          </cell>
          <cell r="M1404" t="str">
            <v>pc</v>
          </cell>
        </row>
        <row r="1405">
          <cell r="A1405" t="str">
            <v>SLANTAI450B</v>
          </cell>
          <cell r="B1405" t="str">
            <v>Soklin Lantai 450 ml Botol</v>
          </cell>
          <cell r="C1405">
            <v>12</v>
          </cell>
          <cell r="D1405" t="str">
            <v>pcs</v>
          </cell>
          <cell r="E1405">
            <v>75228</v>
          </cell>
          <cell r="G1405">
            <v>6269</v>
          </cell>
          <cell r="H1405">
            <v>8000</v>
          </cell>
          <cell r="I1405" t="str">
            <v>pc</v>
          </cell>
          <cell r="J1405">
            <v>8000</v>
          </cell>
          <cell r="K1405" t="str">
            <v>pc</v>
          </cell>
          <cell r="L1405">
            <v>7500</v>
          </cell>
          <cell r="M1405" t="str">
            <v>pc</v>
          </cell>
        </row>
        <row r="1406">
          <cell r="A1406" t="str">
            <v>SLANTAI400R</v>
          </cell>
          <cell r="B1406" t="str">
            <v>Soklin Lantai 400 ml Refill</v>
          </cell>
          <cell r="C1406">
            <v>12</v>
          </cell>
          <cell r="D1406" t="str">
            <v>pcs</v>
          </cell>
          <cell r="E1406">
            <v>60420</v>
          </cell>
          <cell r="G1406">
            <v>5035</v>
          </cell>
          <cell r="H1406">
            <v>6000</v>
          </cell>
          <cell r="I1406" t="str">
            <v>pc</v>
          </cell>
          <cell r="J1406">
            <v>6000</v>
          </cell>
          <cell r="K1406" t="str">
            <v>pc</v>
          </cell>
          <cell r="L1406">
            <v>5700</v>
          </cell>
          <cell r="M1406" t="str">
            <v>pc</v>
          </cell>
        </row>
        <row r="1407">
          <cell r="A1407" t="str">
            <v>SROYAL900R</v>
          </cell>
          <cell r="B1407" t="str">
            <v>Soklin ROYAL 900 ml Refill</v>
          </cell>
          <cell r="C1407">
            <v>12</v>
          </cell>
          <cell r="D1407" t="str">
            <v>pcs</v>
          </cell>
          <cell r="E1407">
            <v>279000</v>
          </cell>
          <cell r="G1407">
            <v>23250</v>
          </cell>
          <cell r="H1407">
            <v>26000</v>
          </cell>
          <cell r="I1407" t="str">
            <v>pc</v>
          </cell>
          <cell r="J1407">
            <v>26000</v>
          </cell>
          <cell r="K1407" t="str">
            <v>pc</v>
          </cell>
          <cell r="L1407">
            <v>25500</v>
          </cell>
          <cell r="M1407" t="str">
            <v>pc</v>
          </cell>
        </row>
        <row r="1408">
          <cell r="A1408" t="str">
            <v>SROYAL370</v>
          </cell>
          <cell r="B1408" t="str">
            <v>Soklin ROYAL 370 ml Refill</v>
          </cell>
          <cell r="C1408">
            <v>12</v>
          </cell>
          <cell r="D1408" t="str">
            <v>pcs</v>
          </cell>
          <cell r="E1408">
            <v>148680</v>
          </cell>
          <cell r="G1408">
            <v>12390</v>
          </cell>
          <cell r="H1408">
            <v>14500</v>
          </cell>
          <cell r="I1408" t="str">
            <v>pc</v>
          </cell>
          <cell r="J1408">
            <v>14000</v>
          </cell>
          <cell r="K1408" t="str">
            <v>pc</v>
          </cell>
          <cell r="L1408">
            <v>13800</v>
          </cell>
          <cell r="M1408" t="str">
            <v>pc</v>
          </cell>
        </row>
        <row r="1409">
          <cell r="A1409" t="str">
            <v>SROYALR</v>
          </cell>
          <cell r="B1409" t="str">
            <v>Soklin ROYAL 15 ml rtg</v>
          </cell>
          <cell r="C1409">
            <v>12</v>
          </cell>
          <cell r="D1409" t="str">
            <v>pcs</v>
          </cell>
          <cell r="E1409">
            <v>4560</v>
          </cell>
          <cell r="G1409">
            <v>380</v>
          </cell>
          <cell r="N1409">
            <v>6000</v>
          </cell>
          <cell r="P1409" t="str">
            <v>rtg</v>
          </cell>
        </row>
        <row r="1410">
          <cell r="A1410" t="str">
            <v>SPWG1800</v>
          </cell>
          <cell r="B1410" t="str">
            <v xml:space="preserve">Soklin Pewangi 1800 ml </v>
          </cell>
          <cell r="C1410">
            <v>12</v>
          </cell>
          <cell r="D1410" t="str">
            <v>pcs</v>
          </cell>
          <cell r="E1410">
            <v>222600</v>
          </cell>
          <cell r="G1410">
            <v>18550</v>
          </cell>
          <cell r="H1410">
            <v>21000</v>
          </cell>
          <cell r="I1410" t="str">
            <v>pc</v>
          </cell>
          <cell r="J1410">
            <v>20500</v>
          </cell>
          <cell r="K1410" t="str">
            <v>pc</v>
          </cell>
          <cell r="L1410">
            <v>20000</v>
          </cell>
          <cell r="M1410" t="str">
            <v>pc</v>
          </cell>
        </row>
        <row r="1411">
          <cell r="A1411" t="str">
            <v>SPWG900R</v>
          </cell>
          <cell r="B1411" t="str">
            <v>Soklin Pewangi 900 ml Refill</v>
          </cell>
          <cell r="C1411">
            <v>12</v>
          </cell>
          <cell r="D1411" t="str">
            <v>pcs</v>
          </cell>
          <cell r="E1411">
            <v>128700</v>
          </cell>
          <cell r="G1411">
            <v>10725</v>
          </cell>
          <cell r="H1411">
            <v>12000</v>
          </cell>
          <cell r="I1411" t="str">
            <v>pc</v>
          </cell>
          <cell r="J1411">
            <v>11500</v>
          </cell>
          <cell r="K1411" t="str">
            <v>pc</v>
          </cell>
          <cell r="L1411">
            <v>11500</v>
          </cell>
          <cell r="M1411" t="str">
            <v>pc</v>
          </cell>
        </row>
        <row r="1412">
          <cell r="A1412" t="str">
            <v>SPWG450R</v>
          </cell>
          <cell r="B1412" t="str">
            <v>Soklin Pewangi 450 ml Refill</v>
          </cell>
          <cell r="C1412">
            <v>6</v>
          </cell>
          <cell r="D1412" t="str">
            <v>pcs</v>
          </cell>
          <cell r="E1412">
            <v>27678</v>
          </cell>
          <cell r="F1412">
            <v>55356</v>
          </cell>
          <cell r="G1412">
            <v>4613</v>
          </cell>
          <cell r="H1412">
            <v>6000</v>
          </cell>
          <cell r="I1412" t="str">
            <v>pc</v>
          </cell>
          <cell r="J1412">
            <v>5500</v>
          </cell>
          <cell r="K1412" t="str">
            <v>pc</v>
          </cell>
          <cell r="L1412">
            <v>5000</v>
          </cell>
          <cell r="M1412" t="str">
            <v>pc</v>
          </cell>
          <cell r="T1412">
            <v>58000</v>
          </cell>
          <cell r="U1412">
            <v>12</v>
          </cell>
          <cell r="V1412" t="str">
            <v>pc</v>
          </cell>
          <cell r="W1412">
            <v>4800</v>
          </cell>
          <cell r="X1412" t="str">
            <v>pc</v>
          </cell>
          <cell r="Y1412">
            <v>4833.333333333333</v>
          </cell>
          <cell r="Z1412" t="str">
            <v>pc</v>
          </cell>
        </row>
        <row r="1413">
          <cell r="A1413" t="str">
            <v>ANTISEP248</v>
          </cell>
          <cell r="B1413" t="str">
            <v>Soklin Antisep 248 gr</v>
          </cell>
          <cell r="C1413">
            <v>22</v>
          </cell>
          <cell r="D1413" t="str">
            <v>pcs</v>
          </cell>
          <cell r="E1413">
            <v>97000</v>
          </cell>
          <cell r="G1413">
            <v>4409.090909090909</v>
          </cell>
          <cell r="H1413">
            <v>6000</v>
          </cell>
          <cell r="I1413" t="str">
            <v>pc</v>
          </cell>
          <cell r="J1413">
            <v>6000</v>
          </cell>
          <cell r="K1413" t="str">
            <v>pc</v>
          </cell>
          <cell r="L1413">
            <v>6000</v>
          </cell>
          <cell r="M1413" t="str">
            <v>pc</v>
          </cell>
        </row>
        <row r="1414">
          <cell r="A1414" t="str">
            <v>ANTISEP1</v>
          </cell>
          <cell r="B1414" t="str">
            <v>Soklin Antisep Renteng</v>
          </cell>
          <cell r="C1414">
            <v>6</v>
          </cell>
          <cell r="D1414" t="str">
            <v>pcs</v>
          </cell>
          <cell r="E1414">
            <v>5000</v>
          </cell>
          <cell r="F1414">
            <v>30000</v>
          </cell>
          <cell r="G1414">
            <v>833.33333333333337</v>
          </cell>
          <cell r="H1414">
            <v>6000</v>
          </cell>
          <cell r="I1414" t="str">
            <v>pc</v>
          </cell>
          <cell r="J1414">
            <v>6000</v>
          </cell>
          <cell r="K1414" t="str">
            <v>pc</v>
          </cell>
          <cell r="L1414">
            <v>6000</v>
          </cell>
          <cell r="M1414" t="str">
            <v>pc</v>
          </cell>
          <cell r="N1414">
            <v>6000</v>
          </cell>
          <cell r="P1414" t="str">
            <v>rtg</v>
          </cell>
          <cell r="T1414">
            <v>6000</v>
          </cell>
          <cell r="U1414">
            <v>6</v>
          </cell>
          <cell r="V1414" t="str">
            <v>rtg</v>
          </cell>
          <cell r="W1414">
            <v>6000</v>
          </cell>
          <cell r="X1414" t="str">
            <v>rtg</v>
          </cell>
          <cell r="Y1414">
            <v>6000</v>
          </cell>
          <cell r="Z1414" t="str">
            <v>rtg</v>
          </cell>
        </row>
        <row r="1415">
          <cell r="A1415" t="str">
            <v>SOKLIN530</v>
          </cell>
          <cell r="B1415" t="str">
            <v>Soklin Deterjen 530 gr</v>
          </cell>
          <cell r="C1415">
            <v>12</v>
          </cell>
          <cell r="D1415" t="str">
            <v>pcs</v>
          </cell>
          <cell r="E1415">
            <v>103800</v>
          </cell>
          <cell r="G1415">
            <v>8650</v>
          </cell>
          <cell r="H1415">
            <v>10000</v>
          </cell>
          <cell r="I1415" t="str">
            <v>pc</v>
          </cell>
          <cell r="J1415">
            <v>9800</v>
          </cell>
          <cell r="K1415" t="str">
            <v>pc</v>
          </cell>
          <cell r="L1415">
            <v>9400</v>
          </cell>
          <cell r="M1415" t="str">
            <v>pc</v>
          </cell>
          <cell r="T1415">
            <v>107000</v>
          </cell>
          <cell r="U1415">
            <v>12</v>
          </cell>
          <cell r="V1415" t="str">
            <v>pc</v>
          </cell>
          <cell r="W1415">
            <v>9000</v>
          </cell>
          <cell r="X1415" t="str">
            <v>pc</v>
          </cell>
          <cell r="Y1415">
            <v>9100</v>
          </cell>
          <cell r="Z1415" t="str">
            <v>pc</v>
          </cell>
        </row>
        <row r="1416">
          <cell r="A1416" t="str">
            <v>SOKLIN280</v>
          </cell>
          <cell r="B1416" t="str">
            <v>Soklin Deterjen 280 gr</v>
          </cell>
          <cell r="C1416">
            <v>22</v>
          </cell>
          <cell r="D1416" t="str">
            <v>pcs</v>
          </cell>
          <cell r="E1416">
            <v>94600</v>
          </cell>
          <cell r="F1416">
            <v>51600</v>
          </cell>
          <cell r="G1416">
            <v>4300</v>
          </cell>
          <cell r="H1416">
            <v>5500</v>
          </cell>
          <cell r="I1416" t="str">
            <v>pc</v>
          </cell>
          <cell r="J1416">
            <v>5500</v>
          </cell>
          <cell r="K1416" t="str">
            <v>pc</v>
          </cell>
          <cell r="L1416">
            <v>4700</v>
          </cell>
          <cell r="M1416" t="str">
            <v>pc</v>
          </cell>
          <cell r="T1416">
            <v>54000</v>
          </cell>
          <cell r="U1416">
            <v>12</v>
          </cell>
          <cell r="V1416" t="str">
            <v>pc</v>
          </cell>
          <cell r="W1416">
            <v>4500</v>
          </cell>
          <cell r="X1416" t="str">
            <v>pc</v>
          </cell>
          <cell r="Y1416">
            <v>4600</v>
          </cell>
          <cell r="Z1416" t="str">
            <v>pc</v>
          </cell>
        </row>
        <row r="1417">
          <cell r="A1417" t="str">
            <v>SOKLIN800</v>
          </cell>
          <cell r="B1417" t="str">
            <v>Soklin Deterjen 800 gr</v>
          </cell>
          <cell r="C1417">
            <v>12</v>
          </cell>
          <cell r="D1417" t="str">
            <v>pcs</v>
          </cell>
          <cell r="E1417">
            <v>189840</v>
          </cell>
          <cell r="G1417">
            <v>15820</v>
          </cell>
          <cell r="H1417">
            <v>17000</v>
          </cell>
          <cell r="I1417" t="str">
            <v>pc</v>
          </cell>
          <cell r="J1417">
            <v>16500</v>
          </cell>
          <cell r="K1417" t="str">
            <v>pc</v>
          </cell>
          <cell r="L1417">
            <v>16300</v>
          </cell>
          <cell r="M1417" t="str">
            <v>pc</v>
          </cell>
          <cell r="T1417">
            <v>191000</v>
          </cell>
          <cell r="U1417">
            <v>12</v>
          </cell>
          <cell r="V1417" t="str">
            <v>pc</v>
          </cell>
          <cell r="W1417">
            <v>16000</v>
          </cell>
          <cell r="X1417" t="str">
            <v>pc</v>
          </cell>
          <cell r="Y1417">
            <v>16100</v>
          </cell>
          <cell r="Z1417" t="str">
            <v>pc</v>
          </cell>
        </row>
        <row r="1418">
          <cell r="A1418" t="str">
            <v>SLIQUID800R</v>
          </cell>
          <cell r="B1418" t="str">
            <v>Soklin Liquid 800 ml Refill</v>
          </cell>
          <cell r="C1418">
            <v>6</v>
          </cell>
          <cell r="D1418" t="str">
            <v>pcs</v>
          </cell>
          <cell r="E1418">
            <v>96870</v>
          </cell>
          <cell r="G1418">
            <v>16145</v>
          </cell>
          <cell r="H1418">
            <v>18500</v>
          </cell>
          <cell r="I1418" t="str">
            <v>pc</v>
          </cell>
          <cell r="J1418">
            <v>18500</v>
          </cell>
          <cell r="K1418" t="str">
            <v>pc</v>
          </cell>
          <cell r="L1418">
            <v>18000</v>
          </cell>
          <cell r="M1418" t="str">
            <v>pc</v>
          </cell>
        </row>
        <row r="1419">
          <cell r="A1419" t="str">
            <v>SLIQUID400R</v>
          </cell>
          <cell r="B1419" t="str">
            <v>Soklin Liquid 400 ml Refill</v>
          </cell>
          <cell r="C1419">
            <v>6</v>
          </cell>
          <cell r="D1419" t="str">
            <v>pcs</v>
          </cell>
          <cell r="E1419">
            <v>46200</v>
          </cell>
          <cell r="G1419">
            <v>7700</v>
          </cell>
          <cell r="H1419">
            <v>9000</v>
          </cell>
          <cell r="I1419" t="str">
            <v>pc</v>
          </cell>
          <cell r="J1419">
            <v>9000</v>
          </cell>
          <cell r="K1419" t="str">
            <v>pc</v>
          </cell>
          <cell r="L1419">
            <v>8500</v>
          </cell>
          <cell r="M1419" t="str">
            <v>pc</v>
          </cell>
        </row>
        <row r="1420">
          <cell r="A1420" t="str">
            <v>SLIQUID50</v>
          </cell>
          <cell r="B1420" t="str">
            <v>Soklin Liquid Renteng 50 ml</v>
          </cell>
          <cell r="C1420">
            <v>6</v>
          </cell>
          <cell r="D1420" t="str">
            <v>pcs</v>
          </cell>
          <cell r="E1420">
            <v>4950</v>
          </cell>
          <cell r="F1420">
            <v>19800</v>
          </cell>
          <cell r="G1420">
            <v>825</v>
          </cell>
          <cell r="N1420">
            <v>6000</v>
          </cell>
          <cell r="P1420" t="str">
            <v>rtg</v>
          </cell>
        </row>
        <row r="1421">
          <cell r="A1421" t="str">
            <v>SLIQUID24</v>
          </cell>
          <cell r="B1421" t="str">
            <v>Soklin Liquid Renteng 24 ml</v>
          </cell>
          <cell r="C1421">
            <v>12</v>
          </cell>
          <cell r="D1421" t="str">
            <v>6+B1416:I1418</v>
          </cell>
          <cell r="E1421">
            <v>4920</v>
          </cell>
          <cell r="F1421">
            <v>19800</v>
          </cell>
          <cell r="G1421">
            <v>410</v>
          </cell>
          <cell r="N1421">
            <v>6000</v>
          </cell>
          <cell r="P1421" t="str">
            <v>rtg</v>
          </cell>
        </row>
        <row r="1422">
          <cell r="A1422" t="str">
            <v>SSOFT35</v>
          </cell>
          <cell r="B1422" t="str">
            <v>Soklin Softener 35 ml rtg</v>
          </cell>
          <cell r="C1422">
            <v>6</v>
          </cell>
          <cell r="D1422" t="str">
            <v>rtg</v>
          </cell>
          <cell r="E1422">
            <v>4740</v>
          </cell>
          <cell r="F1422">
            <v>790</v>
          </cell>
          <cell r="G1422">
            <v>790</v>
          </cell>
          <cell r="N1422">
            <v>6000</v>
          </cell>
          <cell r="P1422" t="str">
            <v>rtg</v>
          </cell>
        </row>
        <row r="1423">
          <cell r="A1423" t="str">
            <v>SSOFT900</v>
          </cell>
          <cell r="B1423" t="str">
            <v xml:space="preserve">Soklin Softener 900 ml </v>
          </cell>
          <cell r="C1423">
            <v>6</v>
          </cell>
          <cell r="D1423" t="str">
            <v>btl</v>
          </cell>
          <cell r="E1423">
            <v>133800</v>
          </cell>
          <cell r="G1423">
            <v>22300</v>
          </cell>
          <cell r="H1423">
            <v>25000</v>
          </cell>
          <cell r="I1423" t="str">
            <v>pc</v>
          </cell>
          <cell r="J1423">
            <v>24500</v>
          </cell>
          <cell r="K1423" t="str">
            <v>pc</v>
          </cell>
          <cell r="L1423">
            <v>24000</v>
          </cell>
          <cell r="M1423" t="str">
            <v>pc</v>
          </cell>
        </row>
        <row r="1424">
          <cell r="A1424" t="str">
            <v>SSOFT300</v>
          </cell>
          <cell r="B1424" t="str">
            <v xml:space="preserve">Soklin Softener 300 ml </v>
          </cell>
          <cell r="C1424">
            <v>12</v>
          </cell>
          <cell r="D1424" t="str">
            <v>btl</v>
          </cell>
          <cell r="E1424">
            <v>93600</v>
          </cell>
          <cell r="G1424">
            <v>7800</v>
          </cell>
          <cell r="H1424">
            <v>9000</v>
          </cell>
          <cell r="I1424" t="str">
            <v>pc</v>
          </cell>
          <cell r="J1424">
            <v>8500</v>
          </cell>
          <cell r="K1424" t="str">
            <v>pc</v>
          </cell>
          <cell r="L1424">
            <v>24000</v>
          </cell>
          <cell r="M1424" t="str">
            <v>pc</v>
          </cell>
        </row>
        <row r="1425">
          <cell r="A1425" t="str">
            <v>KIT</v>
          </cell>
          <cell r="B1425" t="str">
            <v>Shampo Kit motor</v>
          </cell>
          <cell r="C1425">
            <v>12</v>
          </cell>
          <cell r="D1425" t="str">
            <v>rtg</v>
          </cell>
          <cell r="E1425">
            <v>5750</v>
          </cell>
          <cell r="F1425">
            <v>11500</v>
          </cell>
          <cell r="G1425">
            <v>479.16666666666669</v>
          </cell>
          <cell r="I1425" t="str">
            <v>pc</v>
          </cell>
          <cell r="K1425" t="str">
            <v>pc</v>
          </cell>
          <cell r="M1425" t="str">
            <v>pc</v>
          </cell>
          <cell r="N1425">
            <v>6500</v>
          </cell>
          <cell r="O1425">
            <v>12</v>
          </cell>
          <cell r="P1425" t="str">
            <v>rtg</v>
          </cell>
          <cell r="Q1425">
            <v>12500</v>
          </cell>
          <cell r="R1425">
            <v>24</v>
          </cell>
          <cell r="S1425" t="str">
            <v>Pak</v>
          </cell>
          <cell r="AA1425">
            <v>141000</v>
          </cell>
          <cell r="AB1425" t="str">
            <v>dos</v>
          </cell>
        </row>
        <row r="1426">
          <cell r="A1426" t="str">
            <v>PANTENE170</v>
          </cell>
          <cell r="B1426" t="str">
            <v>Shampo Pantene 170 ml</v>
          </cell>
          <cell r="C1426">
            <v>6</v>
          </cell>
          <cell r="D1426" t="str">
            <v>btl</v>
          </cell>
          <cell r="E1426">
            <v>117000</v>
          </cell>
          <cell r="F1426">
            <v>234000</v>
          </cell>
          <cell r="G1426">
            <v>19500</v>
          </cell>
          <cell r="H1426">
            <v>21000</v>
          </cell>
          <cell r="I1426" t="str">
            <v>pc</v>
          </cell>
          <cell r="J1426">
            <v>20500</v>
          </cell>
          <cell r="K1426" t="str">
            <v>pc</v>
          </cell>
          <cell r="L1426">
            <v>19900</v>
          </cell>
          <cell r="M1426" t="str">
            <v>pc</v>
          </cell>
          <cell r="T1426">
            <v>237000</v>
          </cell>
          <cell r="U1426">
            <v>12</v>
          </cell>
          <cell r="V1426" t="str">
            <v>lsn</v>
          </cell>
          <cell r="W1426">
            <v>19700</v>
          </cell>
          <cell r="X1426" t="str">
            <v>pc</v>
          </cell>
          <cell r="Y1426">
            <v>19750</v>
          </cell>
          <cell r="Z1426" t="str">
            <v>pc</v>
          </cell>
        </row>
        <row r="1427">
          <cell r="A1427" t="str">
            <v>PANTENE340</v>
          </cell>
          <cell r="B1427" t="str">
            <v>Shampo Pantene 340 ml</v>
          </cell>
          <cell r="C1427">
            <v>6</v>
          </cell>
          <cell r="D1427" t="str">
            <v>rtg</v>
          </cell>
          <cell r="E1427">
            <v>180000</v>
          </cell>
          <cell r="F1427">
            <v>360000</v>
          </cell>
          <cell r="G1427">
            <v>30000</v>
          </cell>
          <cell r="I1427" t="str">
            <v>btl</v>
          </cell>
          <cell r="K1427" t="str">
            <v>btl</v>
          </cell>
          <cell r="M1427" t="str">
            <v>btl</v>
          </cell>
          <cell r="T1427">
            <v>364000</v>
          </cell>
          <cell r="U1427">
            <v>12</v>
          </cell>
          <cell r="V1427" t="str">
            <v>lsn</v>
          </cell>
          <cell r="W1427">
            <v>30300</v>
          </cell>
          <cell r="X1427" t="str">
            <v>btl</v>
          </cell>
          <cell r="Y1427">
            <v>30333.333333333332</v>
          </cell>
          <cell r="Z1427" t="str">
            <v>btl</v>
          </cell>
        </row>
        <row r="1428">
          <cell r="A1428" t="str">
            <v>PANTENE70</v>
          </cell>
          <cell r="B1428" t="str">
            <v>Shampo Pantene 70 ml btl</v>
          </cell>
          <cell r="C1428">
            <v>6</v>
          </cell>
          <cell r="D1428" t="str">
            <v>btl</v>
          </cell>
          <cell r="E1428">
            <v>54000</v>
          </cell>
          <cell r="G1428">
            <v>9000</v>
          </cell>
          <cell r="H1428">
            <v>10000</v>
          </cell>
          <cell r="I1428" t="str">
            <v>btl</v>
          </cell>
          <cell r="J1428">
            <v>9700</v>
          </cell>
          <cell r="K1428" t="str">
            <v>btl</v>
          </cell>
          <cell r="L1428">
            <v>9500</v>
          </cell>
          <cell r="M1428" t="str">
            <v>btl</v>
          </cell>
          <cell r="T1428">
            <v>112000</v>
          </cell>
          <cell r="U1428">
            <v>12</v>
          </cell>
          <cell r="V1428" t="str">
            <v>lsn</v>
          </cell>
          <cell r="W1428">
            <v>9300</v>
          </cell>
          <cell r="X1428" t="str">
            <v>btl</v>
          </cell>
          <cell r="Y1428">
            <v>9333.3333333333339</v>
          </cell>
          <cell r="Z1428" t="str">
            <v>btl</v>
          </cell>
        </row>
        <row r="1429">
          <cell r="A1429" t="str">
            <v>PANTENE1</v>
          </cell>
          <cell r="B1429" t="str">
            <v>Shampo Pantene rtg</v>
          </cell>
          <cell r="C1429">
            <v>12</v>
          </cell>
          <cell r="D1429" t="str">
            <v>rtg</v>
          </cell>
          <cell r="E1429">
            <v>9300</v>
          </cell>
          <cell r="F1429">
            <v>372000</v>
          </cell>
          <cell r="G1429">
            <v>775</v>
          </cell>
          <cell r="I1429" t="str">
            <v>pc</v>
          </cell>
          <cell r="K1429" t="str">
            <v>pc</v>
          </cell>
          <cell r="M1429" t="str">
            <v>pc</v>
          </cell>
          <cell r="N1429">
            <v>11000</v>
          </cell>
          <cell r="O1429">
            <v>12</v>
          </cell>
          <cell r="P1429" t="str">
            <v>rtg</v>
          </cell>
          <cell r="Y1429">
            <v>916.66666666666663</v>
          </cell>
          <cell r="Z1429" t="str">
            <v>pc</v>
          </cell>
        </row>
        <row r="1430">
          <cell r="A1430" t="str">
            <v>REJOICE170</v>
          </cell>
          <cell r="B1430" t="str">
            <v>Shampo Rejoice Btl 170 ml</v>
          </cell>
          <cell r="C1430">
            <v>6</v>
          </cell>
          <cell r="D1430" t="str">
            <v>btl</v>
          </cell>
          <cell r="E1430">
            <v>111000</v>
          </cell>
          <cell r="F1430">
            <v>222000</v>
          </cell>
          <cell r="G1430">
            <v>18500</v>
          </cell>
          <cell r="H1430">
            <v>19500</v>
          </cell>
          <cell r="I1430" t="str">
            <v>btl</v>
          </cell>
          <cell r="J1430">
            <v>19300</v>
          </cell>
          <cell r="K1430" t="str">
            <v>btl</v>
          </cell>
          <cell r="L1430">
            <v>19000</v>
          </cell>
          <cell r="M1430" t="str">
            <v>btl</v>
          </cell>
          <cell r="T1430">
            <v>225000</v>
          </cell>
          <cell r="U1430">
            <v>12</v>
          </cell>
          <cell r="V1430" t="str">
            <v>lsn</v>
          </cell>
          <cell r="W1430">
            <v>18700</v>
          </cell>
          <cell r="X1430" t="str">
            <v>btl</v>
          </cell>
          <cell r="Y1430">
            <v>18750</v>
          </cell>
          <cell r="Z1430" t="str">
            <v>btl</v>
          </cell>
        </row>
        <row r="1431">
          <cell r="A1431" t="str">
            <v>REJOICE340</v>
          </cell>
          <cell r="B1431" t="str">
            <v>Shampo Rejoice Btl 340 ml</v>
          </cell>
          <cell r="C1431">
            <v>6</v>
          </cell>
          <cell r="D1431" t="str">
            <v>btl</v>
          </cell>
          <cell r="E1431">
            <v>144000</v>
          </cell>
          <cell r="F1431">
            <v>288000</v>
          </cell>
          <cell r="G1431">
            <v>24000</v>
          </cell>
          <cell r="I1431" t="str">
            <v>btl</v>
          </cell>
          <cell r="K1431" t="str">
            <v>btl</v>
          </cell>
          <cell r="M1431" t="str">
            <v>btl</v>
          </cell>
        </row>
        <row r="1432">
          <cell r="A1432" t="str">
            <v>REJOICE70</v>
          </cell>
          <cell r="B1432" t="str">
            <v>Shampo Rejoice Btl 70 ml</v>
          </cell>
          <cell r="C1432">
            <v>6</v>
          </cell>
          <cell r="D1432" t="str">
            <v>btl</v>
          </cell>
          <cell r="E1432">
            <v>54000</v>
          </cell>
          <cell r="F1432">
            <v>108000</v>
          </cell>
          <cell r="G1432">
            <v>9000</v>
          </cell>
          <cell r="H1432">
            <v>10000</v>
          </cell>
          <cell r="I1432" t="str">
            <v>btl</v>
          </cell>
          <cell r="J1432">
            <v>9700</v>
          </cell>
          <cell r="K1432" t="str">
            <v>btl</v>
          </cell>
          <cell r="L1432">
            <v>9500</v>
          </cell>
          <cell r="M1432" t="str">
            <v>btl</v>
          </cell>
          <cell r="T1432">
            <v>112000</v>
          </cell>
          <cell r="U1432">
            <v>12</v>
          </cell>
          <cell r="V1432" t="str">
            <v>lsn</v>
          </cell>
          <cell r="W1432">
            <v>9300</v>
          </cell>
          <cell r="X1432" t="str">
            <v>btl</v>
          </cell>
          <cell r="Y1432">
            <v>9333.3333333333339</v>
          </cell>
          <cell r="Z1432" t="str">
            <v>btl</v>
          </cell>
        </row>
        <row r="1433">
          <cell r="A1433" t="str">
            <v>REJOICE1</v>
          </cell>
          <cell r="B1433" t="str">
            <v>Shampo Rejoice rtg 24 pc</v>
          </cell>
          <cell r="C1433">
            <v>12</v>
          </cell>
          <cell r="D1433" t="str">
            <v>rtg</v>
          </cell>
          <cell r="E1433">
            <v>9300</v>
          </cell>
          <cell r="F1433">
            <v>169500</v>
          </cell>
          <cell r="G1433">
            <v>775</v>
          </cell>
          <cell r="N1433">
            <v>11000</v>
          </cell>
          <cell r="O1433">
            <v>12</v>
          </cell>
          <cell r="P1433" t="str">
            <v>rtg</v>
          </cell>
        </row>
        <row r="1434">
          <cell r="A1434" t="str">
            <v>TRES70</v>
          </cell>
          <cell r="B1434" t="str">
            <v>Shampo Tresemme 70</v>
          </cell>
          <cell r="C1434">
            <v>48</v>
          </cell>
          <cell r="D1434" t="str">
            <v>btl</v>
          </cell>
          <cell r="E1434">
            <v>472800</v>
          </cell>
          <cell r="F1434">
            <v>118200</v>
          </cell>
          <cell r="G1434">
            <v>9850</v>
          </cell>
          <cell r="H1434">
            <v>11500</v>
          </cell>
          <cell r="I1434" t="str">
            <v>btl</v>
          </cell>
          <cell r="J1434">
            <v>11500</v>
          </cell>
          <cell r="K1434" t="str">
            <v>btl</v>
          </cell>
        </row>
        <row r="1435">
          <cell r="A1435" t="str">
            <v>TRES170</v>
          </cell>
          <cell r="B1435" t="str">
            <v>Shampo Tresemme 170</v>
          </cell>
          <cell r="C1435">
            <v>18</v>
          </cell>
          <cell r="D1435" t="str">
            <v>btl</v>
          </cell>
          <cell r="E1435">
            <v>400500</v>
          </cell>
          <cell r="F1435">
            <v>267000</v>
          </cell>
          <cell r="G1435">
            <v>22250</v>
          </cell>
          <cell r="H1435">
            <v>25000</v>
          </cell>
          <cell r="I1435" t="str">
            <v>btl</v>
          </cell>
          <cell r="J1435">
            <v>24500</v>
          </cell>
          <cell r="K1435" t="str">
            <v>btl</v>
          </cell>
          <cell r="L1435">
            <v>24000</v>
          </cell>
          <cell r="M1435" t="str">
            <v>btl</v>
          </cell>
        </row>
        <row r="1436">
          <cell r="A1436" t="str">
            <v>TRES340</v>
          </cell>
          <cell r="B1436" t="str">
            <v>Shampo Tresemme 340</v>
          </cell>
          <cell r="C1436">
            <v>12</v>
          </cell>
          <cell r="D1436" t="str">
            <v>btl</v>
          </cell>
          <cell r="E1436">
            <v>423000</v>
          </cell>
          <cell r="F1436">
            <v>423000</v>
          </cell>
          <cell r="G1436">
            <v>35250</v>
          </cell>
        </row>
        <row r="1437">
          <cell r="A1437" t="str">
            <v>TRES1</v>
          </cell>
          <cell r="B1437" t="str">
            <v>Shampo Tresemme Renteng</v>
          </cell>
          <cell r="C1437">
            <v>12</v>
          </cell>
          <cell r="D1437" t="str">
            <v>rtg</v>
          </cell>
          <cell r="E1437">
            <v>9300</v>
          </cell>
          <cell r="F1437">
            <v>372000</v>
          </cell>
          <cell r="G1437">
            <v>775</v>
          </cell>
          <cell r="H1437">
            <v>1000</v>
          </cell>
          <cell r="I1437" t="str">
            <v>pc</v>
          </cell>
          <cell r="J1437">
            <v>1000</v>
          </cell>
          <cell r="K1437" t="str">
            <v>pc</v>
          </cell>
          <cell r="L1437">
            <v>1000</v>
          </cell>
          <cell r="M1437" t="str">
            <v>pc</v>
          </cell>
          <cell r="N1437">
            <v>10500</v>
          </cell>
          <cell r="O1437">
            <v>12</v>
          </cell>
          <cell r="P1437" t="str">
            <v>rtg</v>
          </cell>
        </row>
        <row r="1438">
          <cell r="A1438" t="str">
            <v>SHINZUIB</v>
          </cell>
          <cell r="B1438" t="str">
            <v>Shinzui Sabun batang</v>
          </cell>
          <cell r="C1438">
            <v>12</v>
          </cell>
          <cell r="D1438" t="str">
            <v>btg</v>
          </cell>
          <cell r="E1438">
            <v>40200</v>
          </cell>
          <cell r="F1438">
            <v>40200</v>
          </cell>
          <cell r="G1438">
            <v>3350</v>
          </cell>
          <cell r="H1438">
            <v>4000</v>
          </cell>
          <cell r="I1438" t="str">
            <v>pc</v>
          </cell>
          <cell r="J1438">
            <v>4000</v>
          </cell>
          <cell r="K1438" t="str">
            <v>pc</v>
          </cell>
          <cell r="L1438">
            <v>3700</v>
          </cell>
          <cell r="M1438" t="str">
            <v>pc</v>
          </cell>
          <cell r="T1438">
            <v>43000</v>
          </cell>
          <cell r="U1438">
            <v>12</v>
          </cell>
          <cell r="V1438" t="str">
            <v>lsn</v>
          </cell>
          <cell r="W1438">
            <v>3500</v>
          </cell>
          <cell r="X1438" t="str">
            <v>pc</v>
          </cell>
          <cell r="Y1438">
            <v>3600</v>
          </cell>
          <cell r="Z1438" t="str">
            <v>pc</v>
          </cell>
        </row>
        <row r="1439">
          <cell r="A1439" t="str">
            <v>SSABUNB200</v>
          </cell>
          <cell r="B1439" t="str">
            <v>Shinzui Sabun 200 ml</v>
          </cell>
          <cell r="C1439">
            <v>2</v>
          </cell>
          <cell r="D1439" t="str">
            <v>pc</v>
          </cell>
          <cell r="E1439">
            <v>22600</v>
          </cell>
          <cell r="F1439">
            <v>135600</v>
          </cell>
          <cell r="G1439">
            <v>11300</v>
          </cell>
          <cell r="H1439">
            <v>13500</v>
          </cell>
          <cell r="I1439" t="str">
            <v>pc</v>
          </cell>
          <cell r="J1439">
            <v>13500</v>
          </cell>
          <cell r="K1439" t="str">
            <v>pc</v>
          </cell>
          <cell r="L1439">
            <v>13000</v>
          </cell>
          <cell r="M1439" t="str">
            <v>pc</v>
          </cell>
        </row>
        <row r="1440">
          <cell r="A1440" t="str">
            <v>SSABUNB450</v>
          </cell>
          <cell r="B1440" t="str">
            <v>Shinzui Sabun 450 ml</v>
          </cell>
          <cell r="C1440">
            <v>1</v>
          </cell>
          <cell r="D1440" t="str">
            <v>pc</v>
          </cell>
          <cell r="E1440">
            <v>22500</v>
          </cell>
          <cell r="F1440">
            <v>270000</v>
          </cell>
          <cell r="G1440">
            <v>22500</v>
          </cell>
          <cell r="H1440">
            <v>25000</v>
          </cell>
          <cell r="I1440" t="str">
            <v>pc</v>
          </cell>
          <cell r="J1440">
            <v>24500</v>
          </cell>
          <cell r="K1440" t="str">
            <v>pc</v>
          </cell>
          <cell r="L1440">
            <v>24000</v>
          </cell>
          <cell r="M1440" t="str">
            <v>pc</v>
          </cell>
        </row>
        <row r="1441">
          <cell r="A1441" t="str">
            <v>SSABUNW80</v>
          </cell>
          <cell r="B1441" t="str">
            <v>Shinzui Sabun Wajah 80ml</v>
          </cell>
          <cell r="C1441">
            <v>6</v>
          </cell>
          <cell r="D1441" t="str">
            <v>pc</v>
          </cell>
          <cell r="E1441">
            <v>102000</v>
          </cell>
          <cell r="G1441">
            <v>17000</v>
          </cell>
          <cell r="H1441">
            <v>19000</v>
          </cell>
          <cell r="I1441" t="str">
            <v>pc</v>
          </cell>
          <cell r="J1441">
            <v>18500</v>
          </cell>
          <cell r="K1441" t="str">
            <v>pc</v>
          </cell>
          <cell r="L1441">
            <v>18500</v>
          </cell>
          <cell r="M1441" t="str">
            <v>pc</v>
          </cell>
        </row>
        <row r="1442">
          <cell r="A1442" t="str">
            <v>SSABUNW40</v>
          </cell>
          <cell r="B1442" t="str">
            <v>Shinzui Sabun Wajah 40ml</v>
          </cell>
          <cell r="C1442">
            <v>6</v>
          </cell>
          <cell r="D1442" t="str">
            <v>pc</v>
          </cell>
          <cell r="E1442">
            <v>57000</v>
          </cell>
          <cell r="G1442">
            <v>9500</v>
          </cell>
          <cell r="H1442">
            <v>12000</v>
          </cell>
          <cell r="I1442" t="str">
            <v>pc</v>
          </cell>
          <cell r="J1442">
            <v>11500</v>
          </cell>
          <cell r="K1442" t="str">
            <v>pc</v>
          </cell>
          <cell r="L1442">
            <v>11500</v>
          </cell>
          <cell r="M1442" t="str">
            <v>pc</v>
          </cell>
        </row>
        <row r="1443">
          <cell r="A1443" t="str">
            <v>PURBA100</v>
          </cell>
          <cell r="B1443" t="str">
            <v>HAND &amp; BODY ZAITUN 100</v>
          </cell>
          <cell r="C1443">
            <v>3</v>
          </cell>
          <cell r="D1443" t="str">
            <v>pc</v>
          </cell>
          <cell r="E1443">
            <v>28100</v>
          </cell>
          <cell r="G1443">
            <v>9366.6666666666661</v>
          </cell>
          <cell r="H1443">
            <v>11500</v>
          </cell>
          <cell r="I1443" t="str">
            <v>pc</v>
          </cell>
          <cell r="J1443">
            <v>11500</v>
          </cell>
          <cell r="K1443" t="str">
            <v>pc</v>
          </cell>
          <cell r="L1443">
            <v>11500</v>
          </cell>
          <cell r="M1443" t="str">
            <v>pc</v>
          </cell>
        </row>
        <row r="1444">
          <cell r="A1444" t="str">
            <v>PURBA125</v>
          </cell>
          <cell r="B1444" t="str">
            <v>Lulur Purbasari 125 ml</v>
          </cell>
          <cell r="C1444">
            <v>3</v>
          </cell>
          <cell r="D1444" t="str">
            <v>pc</v>
          </cell>
          <cell r="E1444">
            <v>28400</v>
          </cell>
          <cell r="G1444">
            <v>9466.6666666666661</v>
          </cell>
          <cell r="H1444">
            <v>12000</v>
          </cell>
          <cell r="I1444" t="str">
            <v>pc</v>
          </cell>
          <cell r="J1444">
            <v>11500</v>
          </cell>
          <cell r="K1444" t="str">
            <v>pc</v>
          </cell>
          <cell r="L1444">
            <v>11500</v>
          </cell>
          <cell r="M1444" t="str">
            <v>pc</v>
          </cell>
        </row>
        <row r="1445">
          <cell r="A1445" t="str">
            <v>PURBA60</v>
          </cell>
          <cell r="B1445" t="str">
            <v>Sabun Sirih Purbasari 60</v>
          </cell>
          <cell r="C1445">
            <v>3</v>
          </cell>
          <cell r="D1445" t="str">
            <v>pc</v>
          </cell>
          <cell r="E1445">
            <v>19200</v>
          </cell>
          <cell r="G1445">
            <v>6400</v>
          </cell>
          <cell r="H1445">
            <v>8000</v>
          </cell>
          <cell r="I1445" t="str">
            <v>pc</v>
          </cell>
          <cell r="J1445">
            <v>8000</v>
          </cell>
          <cell r="K1445" t="str">
            <v>pc</v>
          </cell>
          <cell r="L1445">
            <v>8000</v>
          </cell>
          <cell r="M1445" t="str">
            <v>pc</v>
          </cell>
        </row>
        <row r="1446">
          <cell r="A1446" t="str">
            <v>MANJAKANI60</v>
          </cell>
          <cell r="B1446" t="str">
            <v>Sabun Sirih Purbasari Manjakani 60</v>
          </cell>
          <cell r="C1446">
            <v>3</v>
          </cell>
          <cell r="D1446" t="str">
            <v>pc</v>
          </cell>
          <cell r="E1446">
            <v>25800</v>
          </cell>
          <cell r="G1446">
            <v>8600</v>
          </cell>
          <cell r="H1446">
            <v>10000</v>
          </cell>
          <cell r="I1446" t="str">
            <v>pc</v>
          </cell>
          <cell r="J1446">
            <v>10000</v>
          </cell>
          <cell r="K1446" t="str">
            <v>pc</v>
          </cell>
          <cell r="L1446">
            <v>9500</v>
          </cell>
          <cell r="M1446" t="str">
            <v>pc</v>
          </cell>
        </row>
        <row r="1447">
          <cell r="A1447" t="str">
            <v>CIPTADENTB</v>
          </cell>
          <cell r="B1447" t="str">
            <v>Sikat Gigi CIPTADENT BIASA</v>
          </cell>
          <cell r="C1447">
            <v>12</v>
          </cell>
          <cell r="D1447" t="str">
            <v>pak</v>
          </cell>
          <cell r="E1447">
            <v>34800</v>
          </cell>
          <cell r="G1447">
            <v>2900</v>
          </cell>
          <cell r="H1447">
            <v>4000</v>
          </cell>
          <cell r="I1447" t="str">
            <v>pc</v>
          </cell>
          <cell r="J1447">
            <v>4000</v>
          </cell>
          <cell r="K1447" t="str">
            <v>pc</v>
          </cell>
          <cell r="L1447">
            <v>3500</v>
          </cell>
          <cell r="M1447" t="str">
            <v>pc</v>
          </cell>
          <cell r="Q1447">
            <v>37000</v>
          </cell>
          <cell r="R1447">
            <v>12</v>
          </cell>
          <cell r="S1447" t="str">
            <v>pak</v>
          </cell>
          <cell r="W1447">
            <v>3000</v>
          </cell>
          <cell r="X1447" t="str">
            <v>pc</v>
          </cell>
          <cell r="Y1447">
            <v>3100</v>
          </cell>
          <cell r="Z1447" t="str">
            <v>pc</v>
          </cell>
        </row>
        <row r="1448">
          <cell r="A1448" t="str">
            <v>CIPTADENTH</v>
          </cell>
          <cell r="B1448" t="str">
            <v>Sikat Gigi CIPTADENT CARE HITAM</v>
          </cell>
          <cell r="C1448">
            <v>12</v>
          </cell>
          <cell r="D1448" t="str">
            <v>pak</v>
          </cell>
          <cell r="E1448">
            <v>63000</v>
          </cell>
          <cell r="G1448">
            <v>5250</v>
          </cell>
          <cell r="H1448">
            <v>6500</v>
          </cell>
          <cell r="I1448" t="str">
            <v>pc</v>
          </cell>
          <cell r="J1448">
            <v>6500</v>
          </cell>
          <cell r="K1448" t="str">
            <v>pc</v>
          </cell>
          <cell r="L1448">
            <v>5900</v>
          </cell>
          <cell r="M1448" t="str">
            <v>pc</v>
          </cell>
          <cell r="Q1448">
            <v>63000</v>
          </cell>
          <cell r="R1448">
            <v>12</v>
          </cell>
          <cell r="S1448" t="str">
            <v>pak</v>
          </cell>
          <cell r="W1448">
            <v>5200</v>
          </cell>
          <cell r="X1448" t="str">
            <v>pc</v>
          </cell>
          <cell r="Y1448">
            <v>5250</v>
          </cell>
          <cell r="Z1448" t="str">
            <v>pc</v>
          </cell>
        </row>
        <row r="1449">
          <cell r="A1449" t="str">
            <v>SYSTEMA190</v>
          </cell>
          <cell r="B1449" t="str">
            <v>Pasta Gigi SYSTEMA Gigi Sensitif</v>
          </cell>
          <cell r="C1449">
            <v>12</v>
          </cell>
          <cell r="D1449" t="str">
            <v>pak</v>
          </cell>
          <cell r="E1449">
            <v>238140</v>
          </cell>
          <cell r="G1449">
            <v>19845</v>
          </cell>
          <cell r="H1449">
            <v>21000</v>
          </cell>
          <cell r="I1449" t="str">
            <v>pc</v>
          </cell>
          <cell r="J1449">
            <v>21000</v>
          </cell>
          <cell r="K1449" t="str">
            <v>pc</v>
          </cell>
          <cell r="L1449">
            <v>21000</v>
          </cell>
          <cell r="M1449" t="str">
            <v>pc</v>
          </cell>
          <cell r="Q1449">
            <v>106000</v>
          </cell>
          <cell r="R1449">
            <v>12</v>
          </cell>
          <cell r="S1449" t="str">
            <v>pak</v>
          </cell>
          <cell r="W1449">
            <v>8800</v>
          </cell>
          <cell r="X1449" t="str">
            <v>pc</v>
          </cell>
          <cell r="Y1449">
            <v>8833.3333333333339</v>
          </cell>
          <cell r="Z1449" t="str">
            <v>pc</v>
          </cell>
        </row>
        <row r="1450">
          <cell r="A1450" t="str">
            <v>SYSTEMA250</v>
          </cell>
          <cell r="B1450" t="str">
            <v>Obat Kumur Systema 250 ml</v>
          </cell>
          <cell r="C1450">
            <v>12</v>
          </cell>
          <cell r="D1450" t="str">
            <v>pak</v>
          </cell>
          <cell r="E1450">
            <v>154500</v>
          </cell>
          <cell r="G1450">
            <v>12875</v>
          </cell>
          <cell r="H1450">
            <v>15000</v>
          </cell>
          <cell r="I1450" t="str">
            <v>pc</v>
          </cell>
          <cell r="J1450">
            <v>15000</v>
          </cell>
          <cell r="K1450" t="str">
            <v>pc</v>
          </cell>
          <cell r="L1450">
            <v>15000</v>
          </cell>
          <cell r="M1450" t="str">
            <v>pc</v>
          </cell>
        </row>
        <row r="1451">
          <cell r="A1451" t="str">
            <v>SYSTEMA1</v>
          </cell>
          <cell r="B1451" t="str">
            <v>Sikat Gigi SYSTEMA isi 1</v>
          </cell>
          <cell r="C1451">
            <v>12</v>
          </cell>
          <cell r="D1451" t="str">
            <v>pak</v>
          </cell>
          <cell r="E1451">
            <v>103500</v>
          </cell>
          <cell r="F1451">
            <v>103500</v>
          </cell>
          <cell r="G1451">
            <v>8625</v>
          </cell>
          <cell r="H1451">
            <v>9500</v>
          </cell>
          <cell r="I1451" t="str">
            <v>pc</v>
          </cell>
          <cell r="J1451">
            <v>9500</v>
          </cell>
          <cell r="K1451" t="str">
            <v>pc</v>
          </cell>
          <cell r="L1451">
            <v>9000</v>
          </cell>
          <cell r="M1451" t="str">
            <v>pc</v>
          </cell>
          <cell r="Q1451">
            <v>106000</v>
          </cell>
          <cell r="R1451">
            <v>12</v>
          </cell>
          <cell r="S1451" t="str">
            <v>pak</v>
          </cell>
          <cell r="W1451">
            <v>8800</v>
          </cell>
          <cell r="X1451" t="str">
            <v>pc</v>
          </cell>
          <cell r="Y1451">
            <v>8833.3333333333339</v>
          </cell>
          <cell r="Z1451" t="str">
            <v>pc</v>
          </cell>
        </row>
        <row r="1452">
          <cell r="A1452" t="str">
            <v>SYSTEMA3</v>
          </cell>
          <cell r="B1452" t="str">
            <v>Sikat Gigi SYSTEMA isi 3</v>
          </cell>
          <cell r="C1452">
            <v>1</v>
          </cell>
          <cell r="D1452" t="str">
            <v>pak</v>
          </cell>
          <cell r="E1452">
            <v>8800</v>
          </cell>
          <cell r="F1452">
            <v>105600</v>
          </cell>
          <cell r="G1452">
            <v>8800</v>
          </cell>
          <cell r="H1452">
            <v>12000</v>
          </cell>
          <cell r="I1452" t="str">
            <v>pc</v>
          </cell>
          <cell r="J1452">
            <v>12000</v>
          </cell>
          <cell r="K1452" t="str">
            <v>pc</v>
          </cell>
          <cell r="L1452">
            <v>12000</v>
          </cell>
          <cell r="M1452" t="str">
            <v>pc</v>
          </cell>
        </row>
        <row r="1453">
          <cell r="A1453" t="str">
            <v>ACTION123</v>
          </cell>
          <cell r="B1453" t="str">
            <v>Sikat Gigi Action 123</v>
          </cell>
          <cell r="C1453">
            <v>48</v>
          </cell>
          <cell r="D1453" t="str">
            <v>pak</v>
          </cell>
          <cell r="E1453">
            <v>201600</v>
          </cell>
          <cell r="F1453">
            <v>50400</v>
          </cell>
          <cell r="G1453">
            <v>4200</v>
          </cell>
          <cell r="H1453">
            <v>6000</v>
          </cell>
          <cell r="I1453" t="str">
            <v>pc</v>
          </cell>
          <cell r="J1453">
            <v>5500</v>
          </cell>
          <cell r="K1453" t="str">
            <v>pc</v>
          </cell>
          <cell r="L1453">
            <v>4700</v>
          </cell>
          <cell r="M1453" t="str">
            <v>pc</v>
          </cell>
          <cell r="Q1453">
            <v>53500</v>
          </cell>
          <cell r="R1453">
            <v>12</v>
          </cell>
          <cell r="S1453" t="str">
            <v>pak</v>
          </cell>
          <cell r="W1453">
            <v>4400</v>
          </cell>
          <cell r="X1453" t="str">
            <v>pc</v>
          </cell>
          <cell r="Y1453">
            <v>4458.333333333333</v>
          </cell>
          <cell r="Z1453" t="str">
            <v>pc</v>
          </cell>
        </row>
        <row r="1454">
          <cell r="A1454" t="str">
            <v>ANAK</v>
          </cell>
          <cell r="B1454" t="str">
            <v>Sikat Gigi Anak</v>
          </cell>
          <cell r="C1454">
            <v>12</v>
          </cell>
          <cell r="D1454" t="str">
            <v>pak</v>
          </cell>
          <cell r="E1454">
            <v>37091</v>
          </cell>
          <cell r="G1454">
            <v>3090.9166666666665</v>
          </cell>
        </row>
        <row r="1455">
          <cell r="A1455" t="str">
            <v>BRICO</v>
          </cell>
          <cell r="B1455" t="str">
            <v>Sikat Gigi Brico</v>
          </cell>
          <cell r="C1455">
            <v>12</v>
          </cell>
          <cell r="D1455" t="str">
            <v>pcs</v>
          </cell>
          <cell r="E1455">
            <v>25000</v>
          </cell>
          <cell r="G1455">
            <v>2083.3333333333335</v>
          </cell>
          <cell r="H1455">
            <v>3000</v>
          </cell>
          <cell r="I1455" t="str">
            <v>pc</v>
          </cell>
          <cell r="J1455">
            <v>3000</v>
          </cell>
          <cell r="K1455" t="str">
            <v>pc</v>
          </cell>
          <cell r="L1455">
            <v>2500</v>
          </cell>
          <cell r="M1455" t="str">
            <v>pc</v>
          </cell>
          <cell r="Q1455">
            <v>27000</v>
          </cell>
          <cell r="R1455">
            <v>12</v>
          </cell>
          <cell r="S1455" t="str">
            <v>pak</v>
          </cell>
          <cell r="W1455">
            <v>2200</v>
          </cell>
          <cell r="X1455" t="str">
            <v>pc</v>
          </cell>
          <cell r="Y1455">
            <v>2250</v>
          </cell>
          <cell r="Z1455" t="str">
            <v>pc</v>
          </cell>
        </row>
        <row r="1456">
          <cell r="A1456" t="str">
            <v>FORMULAS</v>
          </cell>
          <cell r="B1456" t="str">
            <v>Sikat Gigi Formula Silver</v>
          </cell>
          <cell r="C1456">
            <v>12</v>
          </cell>
          <cell r="D1456" t="str">
            <v>pcs</v>
          </cell>
          <cell r="E1456">
            <v>34000</v>
          </cell>
          <cell r="F1456">
            <v>204000</v>
          </cell>
          <cell r="G1456">
            <v>2833.3333333333335</v>
          </cell>
          <cell r="H1456">
            <v>4000</v>
          </cell>
          <cell r="I1456" t="str">
            <v>pc</v>
          </cell>
          <cell r="J1456">
            <v>3700</v>
          </cell>
          <cell r="K1456" t="str">
            <v>pc</v>
          </cell>
          <cell r="L1456">
            <v>3300</v>
          </cell>
          <cell r="M1456" t="str">
            <v>pc</v>
          </cell>
          <cell r="Q1456">
            <v>37000</v>
          </cell>
          <cell r="R1456">
            <v>12</v>
          </cell>
          <cell r="S1456" t="str">
            <v>pak</v>
          </cell>
          <cell r="W1456">
            <v>3000</v>
          </cell>
          <cell r="X1456" t="str">
            <v>pc</v>
          </cell>
          <cell r="Y1456">
            <v>3100</v>
          </cell>
          <cell r="Z1456" t="str">
            <v>pc</v>
          </cell>
        </row>
        <row r="1457">
          <cell r="A1457" t="str">
            <v>FAMILYT</v>
          </cell>
          <cell r="B1457" t="str">
            <v>Sikat Gigi Pepsodent  Family TRIPLE CLEAN</v>
          </cell>
          <cell r="C1457">
            <v>12</v>
          </cell>
          <cell r="D1457" t="str">
            <v>pak</v>
          </cell>
          <cell r="E1457">
            <v>33600</v>
          </cell>
          <cell r="F1457">
            <v>201600</v>
          </cell>
          <cell r="G1457">
            <v>2800</v>
          </cell>
          <cell r="H1457">
            <v>4000</v>
          </cell>
          <cell r="I1457" t="str">
            <v>pc</v>
          </cell>
          <cell r="J1457">
            <v>4000</v>
          </cell>
          <cell r="K1457" t="str">
            <v>pc</v>
          </cell>
          <cell r="L1457">
            <v>3500</v>
          </cell>
          <cell r="M1457" t="str">
            <v>pc</v>
          </cell>
          <cell r="Q1457">
            <v>37000</v>
          </cell>
          <cell r="R1457">
            <v>12</v>
          </cell>
          <cell r="S1457" t="str">
            <v>pak</v>
          </cell>
          <cell r="W1457">
            <v>3100</v>
          </cell>
          <cell r="X1457" t="str">
            <v>pc</v>
          </cell>
          <cell r="Y1457">
            <v>3200</v>
          </cell>
          <cell r="Z1457" t="str">
            <v>pc</v>
          </cell>
        </row>
        <row r="1458">
          <cell r="A1458" t="str">
            <v>FAMILY1</v>
          </cell>
          <cell r="B1458" t="str">
            <v>Sikat Gigi Pepsodent  Family 1</v>
          </cell>
          <cell r="C1458">
            <v>12</v>
          </cell>
          <cell r="D1458" t="str">
            <v>pak</v>
          </cell>
          <cell r="E1458">
            <v>21000</v>
          </cell>
          <cell r="F1458">
            <v>126000</v>
          </cell>
          <cell r="G1458">
            <v>1750</v>
          </cell>
          <cell r="H1458">
            <v>3000</v>
          </cell>
          <cell r="I1458" t="str">
            <v>pc</v>
          </cell>
          <cell r="J1458">
            <v>2500</v>
          </cell>
          <cell r="K1458" t="str">
            <v>pc</v>
          </cell>
          <cell r="L1458">
            <v>2500</v>
          </cell>
          <cell r="M1458" t="str">
            <v>pc</v>
          </cell>
          <cell r="Q1458">
            <v>24500</v>
          </cell>
          <cell r="R1458">
            <v>12</v>
          </cell>
          <cell r="S1458" t="str">
            <v>pak</v>
          </cell>
          <cell r="W1458">
            <v>2000</v>
          </cell>
          <cell r="X1458" t="str">
            <v>pc</v>
          </cell>
          <cell r="Y1458">
            <v>2100</v>
          </cell>
          <cell r="Z1458" t="str">
            <v>pc</v>
          </cell>
        </row>
        <row r="1459">
          <cell r="A1459" t="str">
            <v>FAMILY3</v>
          </cell>
          <cell r="B1459" t="str">
            <v>Sikat Gigi Pepsodent  Family 3</v>
          </cell>
          <cell r="C1459">
            <v>6</v>
          </cell>
          <cell r="D1459" t="str">
            <v>pak</v>
          </cell>
          <cell r="E1459">
            <v>47700.25</v>
          </cell>
          <cell r="F1459">
            <v>190801</v>
          </cell>
          <cell r="G1459">
            <v>7950.041666666667</v>
          </cell>
          <cell r="H1459">
            <v>9500</v>
          </cell>
          <cell r="I1459" t="str">
            <v>pc</v>
          </cell>
          <cell r="J1459">
            <v>9000</v>
          </cell>
          <cell r="K1459" t="str">
            <v>pc</v>
          </cell>
        </row>
        <row r="1460">
          <cell r="A1460" t="str">
            <v>DEEP3</v>
          </cell>
          <cell r="B1460" t="str">
            <v>Sikat Gigi Pepsodent DEEP Clean</v>
          </cell>
          <cell r="C1460">
            <v>6</v>
          </cell>
          <cell r="D1460" t="str">
            <v>pak</v>
          </cell>
          <cell r="E1460">
            <v>87000</v>
          </cell>
          <cell r="F1460">
            <v>348000</v>
          </cell>
          <cell r="G1460">
            <v>14500</v>
          </cell>
          <cell r="H1460">
            <v>16500</v>
          </cell>
          <cell r="I1460" t="str">
            <v>pc</v>
          </cell>
          <cell r="J1460">
            <v>16000</v>
          </cell>
          <cell r="K1460" t="str">
            <v>pc</v>
          </cell>
        </row>
        <row r="1461">
          <cell r="A1461" t="str">
            <v>DEEP1</v>
          </cell>
          <cell r="B1461" t="str">
            <v>Sikat Gigi Pepsodent DEEP Clean</v>
          </cell>
          <cell r="C1461">
            <v>12</v>
          </cell>
          <cell r="D1461" t="str">
            <v>pak</v>
          </cell>
          <cell r="E1461">
            <v>61200</v>
          </cell>
          <cell r="G1461">
            <v>5100</v>
          </cell>
          <cell r="H1461">
            <v>6000</v>
          </cell>
          <cell r="I1461" t="str">
            <v>pc</v>
          </cell>
          <cell r="J1461">
            <v>5600</v>
          </cell>
          <cell r="K1461" t="str">
            <v>pc</v>
          </cell>
          <cell r="L1461">
            <v>5400</v>
          </cell>
          <cell r="M1461" t="str">
            <v>pc</v>
          </cell>
          <cell r="Q1461">
            <v>64500</v>
          </cell>
          <cell r="R1461">
            <v>12</v>
          </cell>
          <cell r="S1461" t="str">
            <v>pak</v>
          </cell>
          <cell r="W1461">
            <v>5300</v>
          </cell>
          <cell r="X1461" t="str">
            <v>pc</v>
          </cell>
          <cell r="Y1461">
            <v>5375</v>
          </cell>
          <cell r="Z1461" t="str">
            <v>pc</v>
          </cell>
        </row>
        <row r="1462">
          <cell r="A1462" t="str">
            <v>EASY</v>
          </cell>
          <cell r="B1462" t="str">
            <v>Sikat Gigi Pepsodent Easy Clean</v>
          </cell>
          <cell r="C1462">
            <v>12</v>
          </cell>
          <cell r="D1462" t="str">
            <v>pak</v>
          </cell>
          <cell r="E1462">
            <v>28800.2</v>
          </cell>
          <cell r="G1462">
            <v>2400.0166666666669</v>
          </cell>
          <cell r="H1462">
            <v>3500</v>
          </cell>
          <cell r="I1462" t="str">
            <v>pc</v>
          </cell>
          <cell r="J1462">
            <v>3000</v>
          </cell>
          <cell r="K1462" t="str">
            <v>pc</v>
          </cell>
          <cell r="L1462">
            <v>2700</v>
          </cell>
          <cell r="M1462" t="str">
            <v>pc</v>
          </cell>
          <cell r="Q1462">
            <v>31000</v>
          </cell>
          <cell r="R1462">
            <v>12</v>
          </cell>
          <cell r="S1462" t="str">
            <v>pak</v>
          </cell>
          <cell r="W1462">
            <v>2500</v>
          </cell>
          <cell r="X1462" t="str">
            <v>pc</v>
          </cell>
          <cell r="Y1462">
            <v>2583.3333333333335</v>
          </cell>
          <cell r="Z1462" t="str">
            <v>pc</v>
          </cell>
        </row>
        <row r="1463">
          <cell r="A1463" t="str">
            <v>FIGHTER</v>
          </cell>
          <cell r="B1463" t="str">
            <v>Sikat Gigi Pepsodent Fighter</v>
          </cell>
          <cell r="C1463">
            <v>12</v>
          </cell>
          <cell r="D1463" t="str">
            <v>pak</v>
          </cell>
          <cell r="E1463">
            <v>30900.1</v>
          </cell>
          <cell r="G1463">
            <v>2575.0083333333332</v>
          </cell>
          <cell r="H1463">
            <v>3500</v>
          </cell>
          <cell r="I1463" t="str">
            <v>pc</v>
          </cell>
          <cell r="J1463">
            <v>3100</v>
          </cell>
          <cell r="K1463" t="str">
            <v>pc</v>
          </cell>
          <cell r="L1463">
            <v>2900</v>
          </cell>
          <cell r="M1463" t="str">
            <v>pc</v>
          </cell>
          <cell r="Q1463">
            <v>33500</v>
          </cell>
          <cell r="R1463">
            <v>12</v>
          </cell>
          <cell r="S1463" t="str">
            <v>pak</v>
          </cell>
          <cell r="W1463">
            <v>2700</v>
          </cell>
          <cell r="X1463" t="str">
            <v>pc</v>
          </cell>
          <cell r="Y1463">
            <v>2791.6666666666665</v>
          </cell>
          <cell r="Z1463" t="str">
            <v>pc</v>
          </cell>
        </row>
        <row r="1464">
          <cell r="A1464" t="str">
            <v>GUMCARE</v>
          </cell>
          <cell r="B1464" t="str">
            <v>Sikat Gigi Pepsodent Gum Care</v>
          </cell>
          <cell r="C1464">
            <v>12</v>
          </cell>
          <cell r="D1464" t="str">
            <v>pak</v>
          </cell>
          <cell r="E1464">
            <v>90000</v>
          </cell>
          <cell r="F1464">
            <v>90000</v>
          </cell>
          <cell r="G1464">
            <v>7500</v>
          </cell>
          <cell r="H1464">
            <v>8500</v>
          </cell>
          <cell r="I1464" t="str">
            <v>pc</v>
          </cell>
          <cell r="J1464">
            <v>8000</v>
          </cell>
          <cell r="K1464" t="str">
            <v>pc</v>
          </cell>
          <cell r="L1464">
            <v>7700</v>
          </cell>
          <cell r="M1464" t="str">
            <v>pc</v>
          </cell>
          <cell r="Q1464">
            <v>92000</v>
          </cell>
          <cell r="R1464">
            <v>12</v>
          </cell>
          <cell r="S1464" t="str">
            <v>pak</v>
          </cell>
          <cell r="W1464">
            <v>7600</v>
          </cell>
          <cell r="X1464" t="str">
            <v>pc</v>
          </cell>
          <cell r="Y1464">
            <v>7666.666666666667</v>
          </cell>
          <cell r="Z1464" t="str">
            <v>pc</v>
          </cell>
        </row>
        <row r="1465">
          <cell r="A1465" t="str">
            <v>JUNIOR</v>
          </cell>
          <cell r="B1465" t="str">
            <v>Sikat Gigi Pepsodent Junior</v>
          </cell>
          <cell r="C1465">
            <v>12</v>
          </cell>
          <cell r="D1465" t="str">
            <v>pak</v>
          </cell>
          <cell r="E1465">
            <v>60000</v>
          </cell>
          <cell r="G1465">
            <v>5000</v>
          </cell>
          <cell r="H1465">
            <v>6000</v>
          </cell>
          <cell r="I1465" t="str">
            <v>pc</v>
          </cell>
          <cell r="J1465">
            <v>5500</v>
          </cell>
          <cell r="K1465" t="str">
            <v>pc</v>
          </cell>
          <cell r="L1465">
            <v>5350</v>
          </cell>
          <cell r="M1465" t="str">
            <v>pc</v>
          </cell>
          <cell r="T1465">
            <v>63000</v>
          </cell>
          <cell r="U1465">
            <v>12</v>
          </cell>
          <cell r="V1465" t="str">
            <v>lsn</v>
          </cell>
          <cell r="W1465">
            <v>5200</v>
          </cell>
          <cell r="X1465" t="str">
            <v>pc</v>
          </cell>
          <cell r="Y1465">
            <v>5250</v>
          </cell>
          <cell r="Z1465" t="str">
            <v>pc</v>
          </cell>
        </row>
        <row r="1466">
          <cell r="A1466" t="str">
            <v>SENSITIF</v>
          </cell>
          <cell r="B1466" t="str">
            <v>Sikat Gigi Pepsodent Sensitif</v>
          </cell>
          <cell r="C1466">
            <v>12</v>
          </cell>
          <cell r="D1466" t="str">
            <v>pak</v>
          </cell>
          <cell r="E1466">
            <v>124800</v>
          </cell>
          <cell r="F1466">
            <v>499200</v>
          </cell>
          <cell r="G1466">
            <v>10400</v>
          </cell>
          <cell r="H1466">
            <v>12000</v>
          </cell>
          <cell r="I1466" t="str">
            <v>pc</v>
          </cell>
          <cell r="J1466">
            <v>12000</v>
          </cell>
          <cell r="K1466" t="str">
            <v>pc</v>
          </cell>
          <cell r="L1466">
            <v>11500</v>
          </cell>
          <cell r="M1466" t="str">
            <v>pc</v>
          </cell>
        </row>
        <row r="1467">
          <cell r="A1467" t="str">
            <v>ULTRA</v>
          </cell>
          <cell r="B1467" t="str">
            <v>Sikat Gigi Pepsodent ULTRA Care</v>
          </cell>
          <cell r="C1467">
            <v>12</v>
          </cell>
          <cell r="D1467" t="str">
            <v>pak</v>
          </cell>
          <cell r="E1467">
            <v>40799.916666666664</v>
          </cell>
          <cell r="F1467">
            <v>244799.5</v>
          </cell>
          <cell r="G1467">
            <v>3399.9930555555552</v>
          </cell>
          <cell r="H1467">
            <v>4500</v>
          </cell>
          <cell r="I1467" t="str">
            <v>pc</v>
          </cell>
          <cell r="J1467">
            <v>4000</v>
          </cell>
          <cell r="K1467" t="str">
            <v>pc</v>
          </cell>
          <cell r="L1467">
            <v>3750</v>
          </cell>
          <cell r="M1467" t="str">
            <v>pc</v>
          </cell>
          <cell r="Q1467">
            <v>43500</v>
          </cell>
          <cell r="R1467">
            <v>12</v>
          </cell>
          <cell r="S1467" t="str">
            <v>pak</v>
          </cell>
          <cell r="W1467">
            <v>3600</v>
          </cell>
          <cell r="X1467" t="str">
            <v>pc</v>
          </cell>
          <cell r="Y1467">
            <v>3625</v>
          </cell>
          <cell r="Z1467" t="str">
            <v>pc</v>
          </cell>
          <cell r="AA1467">
            <v>247500</v>
          </cell>
          <cell r="AB1467" t="str">
            <v>dos</v>
          </cell>
        </row>
        <row r="1468">
          <cell r="A1468" t="str">
            <v>sirupsp</v>
          </cell>
          <cell r="B1468" t="str">
            <v>Sirup ABC Special Grade</v>
          </cell>
          <cell r="C1468">
            <v>12</v>
          </cell>
          <cell r="D1468" t="str">
            <v>dos</v>
          </cell>
          <cell r="E1468">
            <v>175474.97</v>
          </cell>
          <cell r="G1468">
            <v>14622.914166666667</v>
          </cell>
          <cell r="H1468">
            <v>17500</v>
          </cell>
          <cell r="I1468" t="str">
            <v>btl</v>
          </cell>
          <cell r="J1468">
            <v>17500</v>
          </cell>
          <cell r="K1468" t="str">
            <v>btl</v>
          </cell>
          <cell r="L1468">
            <v>17500</v>
          </cell>
          <cell r="M1468" t="str">
            <v>btl</v>
          </cell>
          <cell r="U1468">
            <v>12</v>
          </cell>
          <cell r="V1468" t="str">
            <v>lsn</v>
          </cell>
          <cell r="X1468" t="str">
            <v>btl</v>
          </cell>
          <cell r="Y1468">
            <v>17000</v>
          </cell>
          <cell r="Z1468" t="str">
            <v>btl</v>
          </cell>
          <cell r="AA1468">
            <v>222000</v>
          </cell>
          <cell r="AB1468" t="str">
            <v>dos</v>
          </cell>
        </row>
        <row r="1469">
          <cell r="A1469" t="str">
            <v>SIRUP</v>
          </cell>
          <cell r="B1469" t="str">
            <v>Sirup ABC Biasa</v>
          </cell>
          <cell r="C1469">
            <v>12</v>
          </cell>
          <cell r="D1469" t="str">
            <v>dos</v>
          </cell>
          <cell r="E1469">
            <v>109000</v>
          </cell>
          <cell r="G1469">
            <v>9083.3333333333339</v>
          </cell>
          <cell r="H1469">
            <v>12500</v>
          </cell>
          <cell r="I1469" t="str">
            <v>btl</v>
          </cell>
          <cell r="J1469">
            <v>12500</v>
          </cell>
          <cell r="K1469" t="str">
            <v>btl</v>
          </cell>
          <cell r="L1469">
            <v>12500</v>
          </cell>
          <cell r="M1469" t="str">
            <v>btl</v>
          </cell>
        </row>
        <row r="1470">
          <cell r="A1470" t="str">
            <v>FRESS</v>
          </cell>
          <cell r="B1470" t="str">
            <v>Sirup Fress Sirup Melon</v>
          </cell>
          <cell r="C1470">
            <v>12</v>
          </cell>
          <cell r="D1470" t="str">
            <v>dos</v>
          </cell>
          <cell r="E1470">
            <v>166800</v>
          </cell>
          <cell r="G1470">
            <v>13900</v>
          </cell>
          <cell r="H1470">
            <v>16500</v>
          </cell>
          <cell r="I1470" t="str">
            <v>btl</v>
          </cell>
          <cell r="J1470">
            <v>16500</v>
          </cell>
          <cell r="K1470" t="str">
            <v>btl</v>
          </cell>
          <cell r="L1470">
            <v>16500</v>
          </cell>
          <cell r="M1470" t="str">
            <v>btl</v>
          </cell>
        </row>
        <row r="1471">
          <cell r="A1471" t="str">
            <v>MARJAN</v>
          </cell>
          <cell r="B1471" t="str">
            <v>Sirup Marjan Melon/Cocopandan</v>
          </cell>
          <cell r="C1471">
            <v>12</v>
          </cell>
          <cell r="D1471" t="str">
            <v>dos</v>
          </cell>
          <cell r="E1471">
            <v>218000</v>
          </cell>
          <cell r="G1471">
            <v>18166.666666666668</v>
          </cell>
          <cell r="H1471">
            <v>19500</v>
          </cell>
          <cell r="I1471" t="str">
            <v>btl</v>
          </cell>
          <cell r="J1471">
            <v>19000</v>
          </cell>
          <cell r="K1471" t="str">
            <v>btl</v>
          </cell>
          <cell r="L1471">
            <v>18700</v>
          </cell>
          <cell r="M1471" t="str">
            <v>btl</v>
          </cell>
          <cell r="T1471">
            <v>222000</v>
          </cell>
          <cell r="U1471">
            <v>12</v>
          </cell>
          <cell r="V1471" t="str">
            <v>lsn</v>
          </cell>
          <cell r="W1471">
            <v>18400</v>
          </cell>
          <cell r="X1471" t="str">
            <v>btl</v>
          </cell>
          <cell r="Y1471">
            <v>18500</v>
          </cell>
          <cell r="Z1471" t="str">
            <v>btl</v>
          </cell>
          <cell r="AA1471">
            <v>222000</v>
          </cell>
          <cell r="AB1471" t="str">
            <v>dos</v>
          </cell>
        </row>
        <row r="1472">
          <cell r="A1472" t="str">
            <v>VIVO</v>
          </cell>
          <cell r="B1472" t="str">
            <v>VIVO LONG STICK</v>
          </cell>
          <cell r="C1472">
            <v>20</v>
          </cell>
          <cell r="D1472" t="str">
            <v>pak</v>
          </cell>
          <cell r="E1472">
            <v>8600</v>
          </cell>
          <cell r="F1472">
            <v>86000</v>
          </cell>
          <cell r="G1472">
            <v>430</v>
          </cell>
          <cell r="Q1472">
            <v>10000</v>
          </cell>
          <cell r="R1472">
            <v>20</v>
          </cell>
          <cell r="S1472" t="str">
            <v>Pak</v>
          </cell>
        </row>
        <row r="1473">
          <cell r="A1473" t="str">
            <v>JAPOTA35</v>
          </cell>
          <cell r="B1473" t="str">
            <v>JAPOTA 35 GR</v>
          </cell>
          <cell r="C1473">
            <v>10</v>
          </cell>
          <cell r="D1473" t="str">
            <v>pak</v>
          </cell>
          <cell r="E1473">
            <v>41500</v>
          </cell>
          <cell r="G1473">
            <v>4150</v>
          </cell>
          <cell r="H1473">
            <v>5000</v>
          </cell>
          <cell r="I1473" t="str">
            <v>pc</v>
          </cell>
          <cell r="J1473">
            <v>5000</v>
          </cell>
          <cell r="K1473" t="str">
            <v>pc</v>
          </cell>
          <cell r="L1473">
            <v>4500</v>
          </cell>
          <cell r="M1473" t="str">
            <v>pc</v>
          </cell>
        </row>
        <row r="1474">
          <cell r="A1474" t="str">
            <v>JAPOTA68</v>
          </cell>
          <cell r="B1474" t="str">
            <v>JAPOTA 68 GR</v>
          </cell>
          <cell r="C1474">
            <v>10</v>
          </cell>
          <cell r="D1474" t="str">
            <v>pc</v>
          </cell>
          <cell r="E1474">
            <v>76000</v>
          </cell>
          <cell r="G1474">
            <v>7600</v>
          </cell>
          <cell r="H1474">
            <v>9000</v>
          </cell>
          <cell r="I1474" t="str">
            <v>pc</v>
          </cell>
          <cell r="J1474">
            <v>9000</v>
          </cell>
          <cell r="K1474" t="str">
            <v>pc</v>
          </cell>
          <cell r="L1474">
            <v>8500</v>
          </cell>
          <cell r="M1474" t="str">
            <v>pc</v>
          </cell>
        </row>
        <row r="1475">
          <cell r="A1475" t="str">
            <v>NYENTRIKK</v>
          </cell>
          <cell r="B1475" t="str">
            <v>Nyentrik kotak 20 gr isi 10</v>
          </cell>
          <cell r="C1475">
            <v>10</v>
          </cell>
          <cell r="D1475" t="str">
            <v>pc</v>
          </cell>
          <cell r="E1475">
            <v>7041.666666666667</v>
          </cell>
          <cell r="F1475">
            <v>169000</v>
          </cell>
          <cell r="G1475">
            <v>704.16666666666674</v>
          </cell>
          <cell r="Q1475">
            <v>8500</v>
          </cell>
          <cell r="S1475" t="str">
            <v>pak</v>
          </cell>
        </row>
        <row r="1476">
          <cell r="A1476" t="str">
            <v>NYENTRIKP</v>
          </cell>
          <cell r="B1476" t="str">
            <v>Nyentrik Pak 2.5 gr isi 20</v>
          </cell>
          <cell r="C1476">
            <v>20</v>
          </cell>
          <cell r="D1476" t="str">
            <v>pc</v>
          </cell>
          <cell r="E1476">
            <v>8416.6666666666661</v>
          </cell>
          <cell r="F1476">
            <v>50500</v>
          </cell>
          <cell r="G1476">
            <v>420.83333333333331</v>
          </cell>
          <cell r="Q1476">
            <v>9500</v>
          </cell>
          <cell r="S1476" t="str">
            <v>pak</v>
          </cell>
        </row>
        <row r="1477">
          <cell r="A1477" t="str">
            <v>BONIBOL</v>
          </cell>
          <cell r="B1477" t="str">
            <v>Snack  BONIBAL</v>
          </cell>
          <cell r="C1477">
            <v>6</v>
          </cell>
          <cell r="D1477" t="str">
            <v>pak</v>
          </cell>
          <cell r="E1477">
            <v>48500</v>
          </cell>
          <cell r="G1477">
            <v>8083.333333333333</v>
          </cell>
          <cell r="Q1477">
            <v>9000</v>
          </cell>
          <cell r="S1477" t="str">
            <v>pak</v>
          </cell>
        </row>
        <row r="1478">
          <cell r="A1478" t="str">
            <v>DAYAP</v>
          </cell>
          <cell r="B1478" t="str">
            <v>Snack  DAYA PRIMA  BIASA</v>
          </cell>
          <cell r="C1478">
            <v>10</v>
          </cell>
          <cell r="D1478" t="str">
            <v>pcs</v>
          </cell>
          <cell r="E1478">
            <v>8100</v>
          </cell>
          <cell r="F1478">
            <v>81000</v>
          </cell>
          <cell r="G1478">
            <v>810</v>
          </cell>
          <cell r="Q1478">
            <v>9000</v>
          </cell>
          <cell r="S1478" t="str">
            <v>pak</v>
          </cell>
        </row>
        <row r="1479">
          <cell r="A1479" t="str">
            <v>DAYAS</v>
          </cell>
          <cell r="B1479" t="str">
            <v>Snack  DAYA PRIMA  SAMBAL</v>
          </cell>
          <cell r="C1479">
            <v>20</v>
          </cell>
          <cell r="D1479" t="str">
            <v>pcs</v>
          </cell>
          <cell r="E1479">
            <v>15400</v>
          </cell>
          <cell r="F1479">
            <v>77000</v>
          </cell>
          <cell r="G1479">
            <v>770</v>
          </cell>
          <cell r="Q1479">
            <v>17500</v>
          </cell>
          <cell r="S1479" t="str">
            <v>pak</v>
          </cell>
        </row>
        <row r="1480">
          <cell r="A1480" t="str">
            <v>BALLS</v>
          </cell>
          <cell r="B1480" t="str">
            <v>Snack  CHIKI BALLS</v>
          </cell>
          <cell r="C1480">
            <v>20</v>
          </cell>
          <cell r="D1480" t="str">
            <v>pcs</v>
          </cell>
          <cell r="E1480">
            <v>18100.001333333334</v>
          </cell>
          <cell r="F1480">
            <v>54300.004000000001</v>
          </cell>
          <cell r="G1480">
            <v>905.00006666666673</v>
          </cell>
          <cell r="Q1480">
            <v>19000</v>
          </cell>
          <cell r="S1480" t="str">
            <v>pak</v>
          </cell>
        </row>
        <row r="1481">
          <cell r="A1481" t="str">
            <v>JETZ40</v>
          </cell>
          <cell r="B1481" t="str">
            <v>Snack  JETZ 40 gr</v>
          </cell>
          <cell r="C1481">
            <v>40</v>
          </cell>
          <cell r="D1481" t="str">
            <v>pcs</v>
          </cell>
          <cell r="E1481">
            <v>116000.005</v>
          </cell>
          <cell r="F1481">
            <v>34800.001499999998</v>
          </cell>
          <cell r="G1481">
            <v>2900.000125</v>
          </cell>
          <cell r="H1481">
            <v>4000</v>
          </cell>
          <cell r="I1481" t="str">
            <v>pc</v>
          </cell>
          <cell r="J1481">
            <v>4000</v>
          </cell>
          <cell r="K1481" t="str">
            <v>pc</v>
          </cell>
          <cell r="L1481">
            <v>3600</v>
          </cell>
          <cell r="M1481" t="str">
            <v>pc</v>
          </cell>
          <cell r="T1481">
            <v>38000</v>
          </cell>
          <cell r="U1481">
            <v>12</v>
          </cell>
          <cell r="V1481" t="str">
            <v>lsn</v>
          </cell>
          <cell r="W1481">
            <v>3200</v>
          </cell>
          <cell r="X1481" t="str">
            <v>pc</v>
          </cell>
          <cell r="Y1481">
            <v>3400</v>
          </cell>
          <cell r="Z1481" t="str">
            <v>pc</v>
          </cell>
        </row>
        <row r="1482">
          <cell r="A1482" t="str">
            <v>JETZ12</v>
          </cell>
          <cell r="B1482" t="str">
            <v>Snack  JETZ 12 gr</v>
          </cell>
          <cell r="C1482">
            <v>10</v>
          </cell>
          <cell r="D1482" t="str">
            <v>rtg</v>
          </cell>
          <cell r="E1482">
            <v>9050.0006666666668</v>
          </cell>
          <cell r="F1482">
            <v>54300.004000000001</v>
          </cell>
          <cell r="G1482">
            <v>905.00006666666673</v>
          </cell>
          <cell r="H1482">
            <v>1500</v>
          </cell>
          <cell r="I1482" t="str">
            <v>pc</v>
          </cell>
          <cell r="J1482">
            <v>1500</v>
          </cell>
          <cell r="K1482" t="str">
            <v>pc</v>
          </cell>
          <cell r="L1482">
            <v>1500</v>
          </cell>
          <cell r="M1482" t="str">
            <v>pc</v>
          </cell>
          <cell r="N1482">
            <v>10000</v>
          </cell>
          <cell r="P1482" t="str">
            <v>rtg</v>
          </cell>
        </row>
        <row r="1483">
          <cell r="A1483" t="str">
            <v>CHOCOBOWL</v>
          </cell>
          <cell r="B1483" t="str">
            <v xml:space="preserve">Snack  CHOCO BOWL </v>
          </cell>
          <cell r="C1483">
            <v>20</v>
          </cell>
          <cell r="D1483" t="str">
            <v>pcs</v>
          </cell>
          <cell r="E1483">
            <v>8666.6666666666661</v>
          </cell>
          <cell r="F1483">
            <v>52000</v>
          </cell>
          <cell r="G1483">
            <v>433.33333333333331</v>
          </cell>
          <cell r="Q1483">
            <v>9500</v>
          </cell>
          <cell r="S1483" t="str">
            <v>pak</v>
          </cell>
        </row>
        <row r="1484">
          <cell r="A1484" t="str">
            <v>EBIKUB</v>
          </cell>
          <cell r="B1484" t="str">
            <v>Snack  EBIKU BALADO BESAR</v>
          </cell>
          <cell r="C1484">
            <v>20</v>
          </cell>
          <cell r="D1484" t="str">
            <v>pcs</v>
          </cell>
          <cell r="E1484">
            <v>14833.333333333334</v>
          </cell>
          <cell r="F1484">
            <v>89000</v>
          </cell>
          <cell r="G1484">
            <v>741.66666666666674</v>
          </cell>
          <cell r="Q1484">
            <v>17000</v>
          </cell>
          <cell r="S1484" t="str">
            <v>pak</v>
          </cell>
        </row>
        <row r="1485">
          <cell r="A1485" t="str">
            <v>EBIKUK</v>
          </cell>
          <cell r="B1485" t="str">
            <v>Snack  EBIKU BALADO KECIL</v>
          </cell>
          <cell r="C1485">
            <v>20</v>
          </cell>
          <cell r="D1485" t="str">
            <v>pcs</v>
          </cell>
          <cell r="E1485">
            <v>8666.6666666666661</v>
          </cell>
          <cell r="F1485">
            <v>52000</v>
          </cell>
          <cell r="G1485">
            <v>433.33333333333331</v>
          </cell>
          <cell r="H1485">
            <v>500</v>
          </cell>
          <cell r="I1485" t="str">
            <v>pc</v>
          </cell>
          <cell r="J1485">
            <v>500</v>
          </cell>
          <cell r="K1485" t="str">
            <v>pc</v>
          </cell>
          <cell r="Q1485">
            <v>9500</v>
          </cell>
          <cell r="S1485" t="str">
            <v>pak</v>
          </cell>
        </row>
        <row r="1486">
          <cell r="A1486" t="str">
            <v>DAICI</v>
          </cell>
          <cell r="B1486" t="str">
            <v>Snack  DAICI TOPLES</v>
          </cell>
          <cell r="C1486">
            <v>50</v>
          </cell>
          <cell r="D1486" t="str">
            <v>pcs</v>
          </cell>
          <cell r="E1486">
            <v>17583.333333333332</v>
          </cell>
          <cell r="F1486">
            <v>211000</v>
          </cell>
          <cell r="G1486">
            <v>351.66666666666663</v>
          </cell>
          <cell r="Q1486">
            <v>20000</v>
          </cell>
          <cell r="S1486" t="str">
            <v>tpl</v>
          </cell>
        </row>
        <row r="1487">
          <cell r="A1487" t="str">
            <v>WANWAN</v>
          </cell>
          <cell r="B1487" t="str">
            <v>Snack  LONGSTICK WANWAN</v>
          </cell>
          <cell r="C1487">
            <v>20</v>
          </cell>
          <cell r="D1487" t="str">
            <v>pcs</v>
          </cell>
          <cell r="E1487">
            <v>8500</v>
          </cell>
          <cell r="F1487">
            <v>51000</v>
          </cell>
          <cell r="G1487">
            <v>425</v>
          </cell>
          <cell r="Q1487">
            <v>10000</v>
          </cell>
          <cell r="S1487" t="str">
            <v>pak</v>
          </cell>
        </row>
        <row r="1488">
          <cell r="A1488" t="str">
            <v>CRISPYC</v>
          </cell>
          <cell r="B1488" t="str">
            <v>Snack  CRISPY CHOCOLATE  COATED</v>
          </cell>
          <cell r="C1488">
            <v>40</v>
          </cell>
          <cell r="D1488" t="str">
            <v>pcs</v>
          </cell>
          <cell r="E1488">
            <v>30333.333333333332</v>
          </cell>
          <cell r="F1488">
            <v>182000</v>
          </cell>
          <cell r="G1488">
            <v>758.33333333333326</v>
          </cell>
          <cell r="Q1488">
            <v>33000</v>
          </cell>
          <cell r="S1488" t="str">
            <v>tpl</v>
          </cell>
        </row>
        <row r="1489">
          <cell r="A1489" t="str">
            <v>MAGNUS</v>
          </cell>
          <cell r="B1489" t="str">
            <v>Snack  MAGNUS</v>
          </cell>
          <cell r="C1489">
            <v>20</v>
          </cell>
          <cell r="D1489" t="str">
            <v>pcs</v>
          </cell>
          <cell r="E1489">
            <v>8583.3333333333339</v>
          </cell>
          <cell r="F1489">
            <v>51500</v>
          </cell>
          <cell r="G1489">
            <v>429.16666666666669</v>
          </cell>
          <cell r="Q1489">
            <v>9500</v>
          </cell>
          <cell r="S1489" t="str">
            <v>pak</v>
          </cell>
        </row>
        <row r="1490">
          <cell r="A1490" t="str">
            <v>LOLYTOP</v>
          </cell>
          <cell r="B1490" t="str">
            <v>Snack  LOLY TOP</v>
          </cell>
          <cell r="C1490">
            <v>20</v>
          </cell>
          <cell r="D1490" t="str">
            <v>pcs</v>
          </cell>
          <cell r="E1490">
            <v>8333.3333333333339</v>
          </cell>
          <cell r="F1490">
            <v>50000</v>
          </cell>
          <cell r="G1490">
            <v>416.66666666666669</v>
          </cell>
          <cell r="Q1490">
            <v>9500</v>
          </cell>
          <cell r="S1490" t="str">
            <v>pak</v>
          </cell>
        </row>
        <row r="1491">
          <cell r="A1491" t="str">
            <v>KELAPAR</v>
          </cell>
          <cell r="B1491" t="str">
            <v>Snack  KELAPA ROLL</v>
          </cell>
          <cell r="C1491">
            <v>10</v>
          </cell>
          <cell r="D1491" t="str">
            <v>pcs</v>
          </cell>
          <cell r="E1491">
            <v>4055.5555555555557</v>
          </cell>
          <cell r="F1491">
            <v>36500</v>
          </cell>
          <cell r="G1491">
            <v>405.55555555555554</v>
          </cell>
          <cell r="Q1491">
            <v>6000</v>
          </cell>
          <cell r="S1491" t="str">
            <v>pak</v>
          </cell>
        </row>
        <row r="1492">
          <cell r="A1492" t="str">
            <v>BONANO</v>
          </cell>
          <cell r="B1492" t="str">
            <v>Snack  BONANO</v>
          </cell>
          <cell r="C1492">
            <v>20</v>
          </cell>
          <cell r="D1492" t="str">
            <v>pcs</v>
          </cell>
          <cell r="E1492">
            <v>8166.666666666667</v>
          </cell>
          <cell r="F1492">
            <v>49000</v>
          </cell>
          <cell r="G1492">
            <v>408.33333333333337</v>
          </cell>
          <cell r="Q1492">
            <v>9500</v>
          </cell>
          <cell r="S1492" t="str">
            <v>pak</v>
          </cell>
        </row>
        <row r="1493">
          <cell r="A1493" t="str">
            <v>BINGGO</v>
          </cell>
          <cell r="B1493" t="str">
            <v>Snack  BINGGO</v>
          </cell>
          <cell r="C1493">
            <v>20</v>
          </cell>
          <cell r="D1493" t="str">
            <v>pcs</v>
          </cell>
          <cell r="E1493">
            <v>8166.666666666667</v>
          </cell>
          <cell r="F1493">
            <v>49000</v>
          </cell>
          <cell r="G1493">
            <v>408.33333333333337</v>
          </cell>
          <cell r="Q1493">
            <v>9500</v>
          </cell>
          <cell r="S1493" t="str">
            <v>pak</v>
          </cell>
        </row>
        <row r="1494">
          <cell r="A1494" t="str">
            <v>JAPAN</v>
          </cell>
          <cell r="B1494" t="str">
            <v>Snack  JAPAN ISI 20</v>
          </cell>
          <cell r="C1494">
            <v>20</v>
          </cell>
          <cell r="D1494" t="str">
            <v>pcs</v>
          </cell>
          <cell r="E1494">
            <v>8250</v>
          </cell>
          <cell r="F1494">
            <v>66000</v>
          </cell>
          <cell r="G1494">
            <v>412.5</v>
          </cell>
          <cell r="Q1494">
            <v>9500</v>
          </cell>
          <cell r="R1494">
            <v>20</v>
          </cell>
          <cell r="S1494" t="str">
            <v>pak</v>
          </cell>
        </row>
        <row r="1495">
          <cell r="A1495" t="str">
            <v>DHELCO10</v>
          </cell>
          <cell r="B1495" t="str">
            <v>Snack  DHELCO ISI 10</v>
          </cell>
          <cell r="C1495">
            <v>10</v>
          </cell>
          <cell r="D1495" t="str">
            <v>pcs</v>
          </cell>
          <cell r="E1495">
            <v>4000</v>
          </cell>
          <cell r="F1495">
            <v>24000</v>
          </cell>
          <cell r="G1495">
            <v>400</v>
          </cell>
          <cell r="N1495">
            <v>5500</v>
          </cell>
          <cell r="P1495" t="str">
            <v>rtg</v>
          </cell>
        </row>
        <row r="1496">
          <cell r="A1496" t="str">
            <v>DHELCO20</v>
          </cell>
          <cell r="B1496" t="str">
            <v>Snack  DHELCO ISI 20</v>
          </cell>
          <cell r="C1496">
            <v>20</v>
          </cell>
          <cell r="D1496" t="str">
            <v>pcs</v>
          </cell>
          <cell r="E1496">
            <v>8166.666666666667</v>
          </cell>
          <cell r="F1496">
            <v>49000</v>
          </cell>
          <cell r="G1496">
            <v>408.33333333333337</v>
          </cell>
          <cell r="Q1496">
            <v>9500</v>
          </cell>
          <cell r="R1496">
            <v>20</v>
          </cell>
          <cell r="S1496" t="str">
            <v>pak</v>
          </cell>
        </row>
        <row r="1497">
          <cell r="A1497" t="str">
            <v>PERO</v>
          </cell>
          <cell r="B1497" t="str">
            <v>Snack  CHOKI PERO ISI 10</v>
          </cell>
          <cell r="C1497">
            <v>10</v>
          </cell>
          <cell r="D1497" t="str">
            <v>pcs</v>
          </cell>
          <cell r="E1497">
            <v>4100</v>
          </cell>
          <cell r="F1497">
            <v>41000</v>
          </cell>
          <cell r="G1497">
            <v>410</v>
          </cell>
          <cell r="Q1497">
            <v>5500</v>
          </cell>
          <cell r="R1497">
            <v>10</v>
          </cell>
          <cell r="S1497" t="str">
            <v>pak</v>
          </cell>
        </row>
        <row r="1498">
          <cell r="A1498" t="str">
            <v>KRISBEEK</v>
          </cell>
          <cell r="B1498" t="str">
            <v>Snack  KRISBEE kecil 13 GR</v>
          </cell>
          <cell r="C1498">
            <v>10</v>
          </cell>
          <cell r="D1498" t="str">
            <v>pcs</v>
          </cell>
          <cell r="E1498">
            <v>8000</v>
          </cell>
          <cell r="F1498">
            <v>48000</v>
          </cell>
          <cell r="G1498">
            <v>800</v>
          </cell>
          <cell r="H1498">
            <v>1000</v>
          </cell>
          <cell r="I1498" t="str">
            <v>pc</v>
          </cell>
          <cell r="J1498">
            <v>1000</v>
          </cell>
          <cell r="K1498" t="str">
            <v>pc</v>
          </cell>
          <cell r="L1498">
            <v>1000</v>
          </cell>
          <cell r="M1498" t="str">
            <v>pc</v>
          </cell>
          <cell r="N1498">
            <v>9000</v>
          </cell>
          <cell r="P1498" t="str">
            <v>rtg</v>
          </cell>
        </row>
        <row r="1499">
          <cell r="A1499" t="str">
            <v>KRISBEEB</v>
          </cell>
          <cell r="B1499" t="str">
            <v>Snack  KRISBEE besar 68 GR</v>
          </cell>
          <cell r="C1499">
            <v>12</v>
          </cell>
          <cell r="D1499" t="str">
            <v>pcs</v>
          </cell>
          <cell r="E1499">
            <v>58320</v>
          </cell>
          <cell r="F1499">
            <v>58320</v>
          </cell>
          <cell r="G1499">
            <v>4860</v>
          </cell>
          <cell r="H1499">
            <v>6000</v>
          </cell>
          <cell r="I1499" t="str">
            <v>pc</v>
          </cell>
          <cell r="J1499">
            <v>5500</v>
          </cell>
          <cell r="K1499" t="str">
            <v>pc</v>
          </cell>
          <cell r="L1499">
            <v>4800</v>
          </cell>
          <cell r="M1499" t="str">
            <v>pc</v>
          </cell>
          <cell r="T1499">
            <v>56000</v>
          </cell>
          <cell r="U1499">
            <v>12</v>
          </cell>
          <cell r="V1499" t="str">
            <v>lsn</v>
          </cell>
          <cell r="W1499">
            <v>4600</v>
          </cell>
          <cell r="X1499" t="str">
            <v>pc</v>
          </cell>
          <cell r="Y1499">
            <v>4666.666666666667</v>
          </cell>
          <cell r="Z1499" t="str">
            <v>pc</v>
          </cell>
        </row>
        <row r="1500">
          <cell r="A1500" t="str">
            <v>POTABEE57</v>
          </cell>
          <cell r="B1500" t="str">
            <v>Snack  POTABEE besar 57 GR</v>
          </cell>
          <cell r="C1500">
            <v>30</v>
          </cell>
          <cell r="D1500" t="str">
            <v>pcs</v>
          </cell>
          <cell r="E1500">
            <v>216000</v>
          </cell>
          <cell r="F1500">
            <v>86400</v>
          </cell>
          <cell r="G1500">
            <v>7200</v>
          </cell>
          <cell r="H1500">
            <v>8000</v>
          </cell>
          <cell r="I1500" t="str">
            <v>pc</v>
          </cell>
          <cell r="J1500">
            <v>8000</v>
          </cell>
          <cell r="K1500" t="str">
            <v>pc</v>
          </cell>
          <cell r="L1500">
            <v>7700</v>
          </cell>
          <cell r="M1500" t="str">
            <v>pc</v>
          </cell>
        </row>
        <row r="1501">
          <cell r="A1501" t="str">
            <v>POTABEE15</v>
          </cell>
          <cell r="B1501" t="str">
            <v>Snack  POTABEE besar 15 GR</v>
          </cell>
          <cell r="C1501">
            <v>10</v>
          </cell>
          <cell r="D1501" t="str">
            <v>pcs</v>
          </cell>
          <cell r="E1501">
            <v>16250</v>
          </cell>
          <cell r="F1501">
            <v>19500</v>
          </cell>
          <cell r="G1501">
            <v>1625</v>
          </cell>
          <cell r="H1501">
            <v>2000</v>
          </cell>
          <cell r="I1501" t="str">
            <v>pc</v>
          </cell>
          <cell r="J1501">
            <v>2000</v>
          </cell>
          <cell r="K1501" t="str">
            <v>pc</v>
          </cell>
          <cell r="L1501">
            <v>1800</v>
          </cell>
          <cell r="M1501" t="str">
            <v>pc</v>
          </cell>
          <cell r="T1501">
            <v>21000</v>
          </cell>
          <cell r="U1501">
            <v>12</v>
          </cell>
          <cell r="V1501" t="str">
            <v>lsn</v>
          </cell>
          <cell r="W1501">
            <v>1700</v>
          </cell>
          <cell r="X1501" t="str">
            <v>pc</v>
          </cell>
          <cell r="Y1501">
            <v>1750</v>
          </cell>
          <cell r="Z1501" t="str">
            <v>pc</v>
          </cell>
        </row>
        <row r="1502">
          <cell r="A1502" t="str">
            <v>POTABEE35</v>
          </cell>
          <cell r="B1502" t="str">
            <v>Snack  POTABEE besar 35 GR</v>
          </cell>
          <cell r="C1502">
            <v>20</v>
          </cell>
          <cell r="D1502" t="str">
            <v>pcs</v>
          </cell>
          <cell r="E1502">
            <v>83000</v>
          </cell>
          <cell r="F1502">
            <v>49800</v>
          </cell>
          <cell r="G1502">
            <v>4150</v>
          </cell>
          <cell r="H1502">
            <v>5000</v>
          </cell>
          <cell r="I1502" t="str">
            <v>pc</v>
          </cell>
          <cell r="J1502">
            <v>5000</v>
          </cell>
          <cell r="K1502" t="str">
            <v>pc</v>
          </cell>
          <cell r="L1502">
            <v>4500</v>
          </cell>
          <cell r="M1502" t="str">
            <v>pc</v>
          </cell>
        </row>
        <row r="1503">
          <cell r="A1503" t="str">
            <v>HANzEL</v>
          </cell>
          <cell r="B1503" t="str">
            <v>Snack  HANSEL</v>
          </cell>
          <cell r="C1503">
            <v>12</v>
          </cell>
          <cell r="D1503" t="str">
            <v>pcs</v>
          </cell>
          <cell r="E1503">
            <v>19200.083333333332</v>
          </cell>
          <cell r="F1503">
            <v>230401</v>
          </cell>
          <cell r="G1503">
            <v>1600.0069444444443</v>
          </cell>
          <cell r="H1503">
            <v>2000</v>
          </cell>
          <cell r="I1503" t="str">
            <v>pc</v>
          </cell>
          <cell r="J1503">
            <v>2000</v>
          </cell>
          <cell r="K1503" t="str">
            <v>pc</v>
          </cell>
          <cell r="L1503">
            <v>2000</v>
          </cell>
          <cell r="M1503" t="str">
            <v>pc</v>
          </cell>
          <cell r="Q1503">
            <v>21500</v>
          </cell>
          <cell r="S1503" t="str">
            <v>pak</v>
          </cell>
        </row>
        <row r="1504">
          <cell r="A1504" t="str">
            <v>PRINGLES107</v>
          </cell>
          <cell r="B1504" t="str">
            <v>Snack  PRINGLES 107 GR</v>
          </cell>
          <cell r="C1504">
            <v>12</v>
          </cell>
          <cell r="D1504" t="str">
            <v>pcs</v>
          </cell>
          <cell r="E1504">
            <v>200112</v>
          </cell>
          <cell r="G1504">
            <v>16676</v>
          </cell>
          <cell r="H1504">
            <v>19000</v>
          </cell>
          <cell r="I1504" t="str">
            <v>pc</v>
          </cell>
          <cell r="J1504">
            <v>18500</v>
          </cell>
          <cell r="K1504" t="str">
            <v>pc</v>
          </cell>
          <cell r="L1504">
            <v>18000</v>
          </cell>
          <cell r="M1504" t="str">
            <v>pc</v>
          </cell>
        </row>
        <row r="1505">
          <cell r="A1505" t="str">
            <v>PRINGLES42</v>
          </cell>
          <cell r="B1505" t="str">
            <v>Snack  PRINGLES 42 GR</v>
          </cell>
          <cell r="C1505">
            <v>12</v>
          </cell>
          <cell r="D1505" t="str">
            <v>pcs</v>
          </cell>
          <cell r="E1505">
            <v>77000</v>
          </cell>
          <cell r="G1505">
            <v>6416.666666666667</v>
          </cell>
          <cell r="H1505">
            <v>8500</v>
          </cell>
          <cell r="I1505" t="str">
            <v>pc</v>
          </cell>
          <cell r="J1505">
            <v>8000</v>
          </cell>
          <cell r="K1505" t="str">
            <v>pc</v>
          </cell>
          <cell r="L1505">
            <v>7500</v>
          </cell>
          <cell r="M1505" t="str">
            <v>pc</v>
          </cell>
        </row>
        <row r="1506">
          <cell r="A1506" t="str">
            <v>SELAMAT198</v>
          </cell>
          <cell r="B1506" t="str">
            <v>Snack  WAFER SELAMAT 198 GR</v>
          </cell>
          <cell r="C1506">
            <v>24</v>
          </cell>
          <cell r="D1506" t="str">
            <v>pcs</v>
          </cell>
          <cell r="E1506">
            <v>264264</v>
          </cell>
          <cell r="F1506">
            <v>132132</v>
          </cell>
          <cell r="G1506">
            <v>11011</v>
          </cell>
          <cell r="H1506">
            <v>13000</v>
          </cell>
          <cell r="I1506" t="str">
            <v>pc</v>
          </cell>
          <cell r="J1506">
            <v>13000</v>
          </cell>
          <cell r="K1506" t="str">
            <v>pc</v>
          </cell>
          <cell r="L1506">
            <v>7500</v>
          </cell>
          <cell r="M1506" t="str">
            <v>pc</v>
          </cell>
        </row>
        <row r="1507">
          <cell r="A1507" t="str">
            <v>SELAMAT340</v>
          </cell>
          <cell r="B1507" t="str">
            <v>Snack  WAFER SELAMAT 340 GR</v>
          </cell>
          <cell r="C1507">
            <v>6</v>
          </cell>
          <cell r="D1507" t="str">
            <v>klg</v>
          </cell>
          <cell r="E1507">
            <v>200112</v>
          </cell>
          <cell r="G1507">
            <v>33352</v>
          </cell>
          <cell r="H1507">
            <v>36000</v>
          </cell>
          <cell r="I1507" t="str">
            <v>klg</v>
          </cell>
          <cell r="J1507">
            <v>36000</v>
          </cell>
          <cell r="K1507" t="str">
            <v>klg</v>
          </cell>
          <cell r="L1507">
            <v>36000</v>
          </cell>
          <cell r="M1507" t="str">
            <v>klg</v>
          </cell>
        </row>
        <row r="1508">
          <cell r="A1508" t="str">
            <v>SELAMATP</v>
          </cell>
          <cell r="B1508" t="str">
            <v>Snack  WAFER SELAMAT 18 GR</v>
          </cell>
          <cell r="C1508">
            <v>20</v>
          </cell>
          <cell r="D1508" t="str">
            <v>pak</v>
          </cell>
          <cell r="E1508">
            <v>15400</v>
          </cell>
          <cell r="F1508">
            <v>92400</v>
          </cell>
          <cell r="G1508">
            <v>770</v>
          </cell>
          <cell r="Q1508">
            <v>17500</v>
          </cell>
          <cell r="S1508" t="str">
            <v>pak</v>
          </cell>
        </row>
        <row r="1509">
          <cell r="A1509" t="str">
            <v>TWISTER80</v>
          </cell>
          <cell r="B1509" t="str">
            <v>Snack  TWISTER COKLAT 80 GR</v>
          </cell>
          <cell r="C1509">
            <v>20</v>
          </cell>
          <cell r="D1509" t="str">
            <v>pcs</v>
          </cell>
          <cell r="E1509">
            <v>123640</v>
          </cell>
          <cell r="F1509">
            <v>72270</v>
          </cell>
          <cell r="G1509">
            <v>6182</v>
          </cell>
          <cell r="H1509">
            <v>7000</v>
          </cell>
          <cell r="I1509" t="str">
            <v>pc</v>
          </cell>
          <cell r="J1509">
            <v>6700</v>
          </cell>
          <cell r="K1509" t="str">
            <v>pc</v>
          </cell>
          <cell r="L1509">
            <v>6600</v>
          </cell>
          <cell r="M1509" t="str">
            <v>pc</v>
          </cell>
          <cell r="Q1509">
            <v>9000</v>
          </cell>
          <cell r="S1509" t="str">
            <v>pak</v>
          </cell>
        </row>
        <row r="1510">
          <cell r="A1510" t="str">
            <v>TWISTERP</v>
          </cell>
          <cell r="B1510" t="str">
            <v>Snack  TWISTER COKLAT 7 GR</v>
          </cell>
          <cell r="C1510">
            <v>20</v>
          </cell>
          <cell r="D1510" t="str">
            <v>pcs</v>
          </cell>
          <cell r="E1510">
            <v>8030</v>
          </cell>
          <cell r="F1510">
            <v>72270</v>
          </cell>
          <cell r="G1510">
            <v>401.5</v>
          </cell>
          <cell r="Q1510">
            <v>9000</v>
          </cell>
          <cell r="S1510" t="str">
            <v>pak</v>
          </cell>
        </row>
        <row r="1511">
          <cell r="A1511" t="str">
            <v>MUFFIN</v>
          </cell>
          <cell r="B1511" t="str">
            <v>Snack  MUFFIN</v>
          </cell>
          <cell r="C1511">
            <v>20</v>
          </cell>
          <cell r="D1511" t="str">
            <v>pcs</v>
          </cell>
          <cell r="E1511">
            <v>15625</v>
          </cell>
          <cell r="F1511">
            <v>125000</v>
          </cell>
          <cell r="G1511">
            <v>781.25</v>
          </cell>
          <cell r="Q1511">
            <v>17000</v>
          </cell>
          <cell r="S1511" t="str">
            <v>pak</v>
          </cell>
        </row>
        <row r="1512">
          <cell r="A1512" t="str">
            <v>KWACIC</v>
          </cell>
          <cell r="B1512" t="str">
            <v>Snack  Kwaci Chacer</v>
          </cell>
          <cell r="C1512">
            <v>20</v>
          </cell>
          <cell r="D1512" t="str">
            <v>pcs</v>
          </cell>
          <cell r="E1512">
            <v>18250</v>
          </cell>
          <cell r="F1512">
            <v>182500</v>
          </cell>
          <cell r="G1512">
            <v>912.5</v>
          </cell>
          <cell r="Q1512">
            <v>19500</v>
          </cell>
          <cell r="S1512" t="str">
            <v>pak</v>
          </cell>
        </row>
        <row r="1513">
          <cell r="A1513" t="str">
            <v>KWACIP</v>
          </cell>
          <cell r="B1513" t="str">
            <v>Snack  Kwaci PAN PAN</v>
          </cell>
          <cell r="C1513">
            <v>20</v>
          </cell>
          <cell r="D1513" t="str">
            <v>pcs</v>
          </cell>
          <cell r="E1513">
            <v>8066.666666666667</v>
          </cell>
          <cell r="F1513">
            <v>121000</v>
          </cell>
          <cell r="G1513">
            <v>403.33333333333337</v>
          </cell>
          <cell r="Q1513">
            <v>9000</v>
          </cell>
          <cell r="S1513" t="str">
            <v>pak</v>
          </cell>
        </row>
        <row r="1514">
          <cell r="A1514" t="str">
            <v>KWACIF</v>
          </cell>
          <cell r="B1514" t="str">
            <v>Snack  Kwaci Flower</v>
          </cell>
          <cell r="C1514">
            <v>20</v>
          </cell>
          <cell r="D1514" t="str">
            <v>pcs</v>
          </cell>
          <cell r="E1514">
            <v>16633.333333333332</v>
          </cell>
          <cell r="F1514">
            <v>249500</v>
          </cell>
          <cell r="G1514">
            <v>831.66666666666663</v>
          </cell>
          <cell r="Q1514">
            <v>18000</v>
          </cell>
          <cell r="S1514" t="str">
            <v>pak</v>
          </cell>
        </row>
        <row r="1515">
          <cell r="A1515" t="str">
            <v>KWACIRK</v>
          </cell>
          <cell r="B1515" t="str">
            <v>Snack  Kwaci REBO RENTENG</v>
          </cell>
          <cell r="C1515">
            <v>20</v>
          </cell>
          <cell r="D1515" t="str">
            <v>pcs</v>
          </cell>
          <cell r="E1515">
            <v>16500</v>
          </cell>
          <cell r="F1515">
            <v>165000</v>
          </cell>
          <cell r="G1515">
            <v>825</v>
          </cell>
          <cell r="Q1515">
            <v>18000</v>
          </cell>
          <cell r="S1515" t="str">
            <v>pak</v>
          </cell>
        </row>
        <row r="1516">
          <cell r="A1516" t="str">
            <v>KWACIR70</v>
          </cell>
          <cell r="B1516" t="str">
            <v>Snack  Kwaci REBO 70 GR</v>
          </cell>
          <cell r="C1516">
            <v>48</v>
          </cell>
          <cell r="D1516" t="str">
            <v>pcs</v>
          </cell>
          <cell r="E1516">
            <v>325000</v>
          </cell>
          <cell r="F1516">
            <v>81250</v>
          </cell>
          <cell r="G1516">
            <v>6770.833333333333</v>
          </cell>
          <cell r="H1516">
            <v>8000</v>
          </cell>
          <cell r="I1516" t="str">
            <v>pc</v>
          </cell>
          <cell r="J1516">
            <v>8000</v>
          </cell>
          <cell r="K1516" t="str">
            <v>pc</v>
          </cell>
          <cell r="L1516">
            <v>7500</v>
          </cell>
          <cell r="M1516" t="str">
            <v>pc</v>
          </cell>
          <cell r="T1516">
            <v>84000</v>
          </cell>
          <cell r="U1516">
            <v>12</v>
          </cell>
          <cell r="V1516" t="str">
            <v>lsn</v>
          </cell>
          <cell r="W1516">
            <v>6900</v>
          </cell>
          <cell r="X1516" t="str">
            <v>pc</v>
          </cell>
          <cell r="Y1516">
            <v>7000</v>
          </cell>
          <cell r="Z1516" t="str">
            <v>pc</v>
          </cell>
        </row>
        <row r="1517">
          <cell r="A1517" t="str">
            <v>KWACIR150</v>
          </cell>
          <cell r="B1517" t="str">
            <v>Snack  Kwaci REBO 150 GR</v>
          </cell>
          <cell r="C1517">
            <v>48</v>
          </cell>
          <cell r="D1517" t="str">
            <v>pcs</v>
          </cell>
          <cell r="E1517">
            <v>589000</v>
          </cell>
          <cell r="F1517">
            <v>147250</v>
          </cell>
          <cell r="G1517">
            <v>12270.833333333334</v>
          </cell>
          <cell r="H1517">
            <v>14000</v>
          </cell>
          <cell r="I1517" t="str">
            <v>pc</v>
          </cell>
          <cell r="J1517">
            <v>13500</v>
          </cell>
          <cell r="K1517" t="str">
            <v>pc</v>
          </cell>
          <cell r="L1517">
            <v>13000</v>
          </cell>
          <cell r="M1517" t="str">
            <v>pc</v>
          </cell>
          <cell r="T1517">
            <v>151000</v>
          </cell>
          <cell r="U1517">
            <v>12</v>
          </cell>
          <cell r="V1517" t="str">
            <v>lsn</v>
          </cell>
          <cell r="W1517">
            <v>12500</v>
          </cell>
          <cell r="X1517" t="str">
            <v>pc</v>
          </cell>
          <cell r="Y1517">
            <v>12600</v>
          </cell>
          <cell r="Z1517" t="str">
            <v>pc</v>
          </cell>
        </row>
        <row r="1518">
          <cell r="A1518" t="str">
            <v>JOGERT</v>
          </cell>
          <cell r="B1518" t="str">
            <v>Snack  JOGER TOPLES</v>
          </cell>
          <cell r="C1518">
            <v>40</v>
          </cell>
          <cell r="D1518" t="str">
            <v>pcs</v>
          </cell>
          <cell r="E1518">
            <v>32333.333333333332</v>
          </cell>
          <cell r="F1518">
            <v>97000</v>
          </cell>
          <cell r="G1518">
            <v>808.33333333333326</v>
          </cell>
          <cell r="Q1518">
            <v>36000</v>
          </cell>
          <cell r="S1518" t="str">
            <v>pak</v>
          </cell>
        </row>
        <row r="1519">
          <cell r="A1519" t="str">
            <v>LUIGI</v>
          </cell>
          <cell r="B1519" t="str">
            <v>Snack  LUIGI ORANGE</v>
          </cell>
          <cell r="C1519">
            <v>20</v>
          </cell>
          <cell r="D1519" t="str">
            <v>pcs</v>
          </cell>
          <cell r="E1519">
            <v>8250</v>
          </cell>
          <cell r="F1519">
            <v>49500</v>
          </cell>
          <cell r="G1519">
            <v>412.5</v>
          </cell>
          <cell r="Q1519">
            <v>9500</v>
          </cell>
          <cell r="S1519" t="str">
            <v>pak</v>
          </cell>
        </row>
        <row r="1520">
          <cell r="A1520" t="str">
            <v>MITRAC</v>
          </cell>
          <cell r="B1520" t="str">
            <v>Snack  MITRA COIN</v>
          </cell>
          <cell r="C1520">
            <v>70</v>
          </cell>
          <cell r="D1520" t="str">
            <v>pcs</v>
          </cell>
          <cell r="E1520">
            <v>20125</v>
          </cell>
          <cell r="F1520">
            <v>241500</v>
          </cell>
          <cell r="G1520">
            <v>287.5</v>
          </cell>
          <cell r="Q1520">
            <v>23000</v>
          </cell>
          <cell r="S1520" t="str">
            <v>pak</v>
          </cell>
        </row>
        <row r="1521">
          <cell r="A1521" t="str">
            <v>CIKAN</v>
          </cell>
          <cell r="B1521" t="str">
            <v>Snack  MIMI CHOCO IKAN</v>
          </cell>
          <cell r="C1521">
            <v>45</v>
          </cell>
          <cell r="D1521" t="str">
            <v>pcs</v>
          </cell>
          <cell r="E1521">
            <v>15833.333333333334</v>
          </cell>
          <cell r="F1521">
            <v>190000</v>
          </cell>
          <cell r="G1521">
            <v>351.85185185185185</v>
          </cell>
          <cell r="Q1521">
            <v>18000</v>
          </cell>
          <cell r="S1521" t="str">
            <v>pak</v>
          </cell>
        </row>
        <row r="1522">
          <cell r="A1522" t="str">
            <v>CHOCOKU</v>
          </cell>
          <cell r="B1522" t="str">
            <v>Snack  COKLAT CHOCOKU</v>
          </cell>
          <cell r="C1522">
            <v>24</v>
          </cell>
          <cell r="D1522" t="str">
            <v>pcs</v>
          </cell>
          <cell r="E1522">
            <v>17916.666666666668</v>
          </cell>
          <cell r="F1522">
            <v>107500</v>
          </cell>
          <cell r="G1522">
            <v>746.52777777777783</v>
          </cell>
          <cell r="Q1522">
            <v>20000</v>
          </cell>
          <cell r="S1522" t="str">
            <v>pak</v>
          </cell>
        </row>
        <row r="1523">
          <cell r="A1523" t="str">
            <v>CLOLY</v>
          </cell>
          <cell r="B1523" t="str">
            <v>Snack  COKLAT LOLY TABELO</v>
          </cell>
          <cell r="C1523">
            <v>20</v>
          </cell>
          <cell r="D1523" t="str">
            <v>pcs</v>
          </cell>
          <cell r="E1523">
            <v>8083.333333333333</v>
          </cell>
          <cell r="F1523">
            <v>97000</v>
          </cell>
          <cell r="G1523">
            <v>404.16666666666663</v>
          </cell>
          <cell r="Q1523">
            <v>9000</v>
          </cell>
          <cell r="S1523" t="str">
            <v>pak</v>
          </cell>
        </row>
        <row r="1524">
          <cell r="A1524" t="str">
            <v>BOLAC</v>
          </cell>
          <cell r="B1524" t="str">
            <v>Snack  BOLA-BOLA COKLAT</v>
          </cell>
          <cell r="C1524">
            <v>9</v>
          </cell>
          <cell r="D1524" t="str">
            <v>bks</v>
          </cell>
          <cell r="E1524">
            <v>145000</v>
          </cell>
          <cell r="G1524">
            <v>16111.111111111111</v>
          </cell>
          <cell r="H1524">
            <v>20000</v>
          </cell>
          <cell r="I1524" t="str">
            <v>bks</v>
          </cell>
          <cell r="J1524">
            <v>20000</v>
          </cell>
          <cell r="K1524" t="str">
            <v>bks</v>
          </cell>
          <cell r="L1524">
            <v>19500</v>
          </cell>
          <cell r="M1524" t="str">
            <v>bks</v>
          </cell>
        </row>
        <row r="1525">
          <cell r="A1525" t="str">
            <v>HAPPYTOS</v>
          </cell>
          <cell r="B1525" t="str">
            <v>Snack  HAPPYTOS</v>
          </cell>
          <cell r="C1525">
            <v>24</v>
          </cell>
          <cell r="D1525" t="str">
            <v>pcs</v>
          </cell>
          <cell r="E1525">
            <v>98000</v>
          </cell>
          <cell r="F1525">
            <v>49000</v>
          </cell>
          <cell r="G1525">
            <v>4083.3333333333335</v>
          </cell>
          <cell r="H1525">
            <v>5000</v>
          </cell>
          <cell r="I1525" t="str">
            <v>pc</v>
          </cell>
          <cell r="J1525">
            <v>5000</v>
          </cell>
          <cell r="K1525" t="str">
            <v>pc</v>
          </cell>
          <cell r="L1525">
            <v>4400</v>
          </cell>
          <cell r="M1525" t="str">
            <v>pc</v>
          </cell>
          <cell r="T1525">
            <v>51500</v>
          </cell>
          <cell r="U1525">
            <v>12</v>
          </cell>
          <cell r="V1525" t="str">
            <v>lsn</v>
          </cell>
          <cell r="W1525">
            <v>4250</v>
          </cell>
          <cell r="X1525" t="str">
            <v>pc</v>
          </cell>
          <cell r="Y1525">
            <v>4291.666666666667</v>
          </cell>
          <cell r="Z1525" t="str">
            <v>pc</v>
          </cell>
        </row>
        <row r="1526">
          <cell r="A1526" t="str">
            <v>CLOUDB</v>
          </cell>
          <cell r="B1526" t="str">
            <v>Snack  CLOUD BESAR</v>
          </cell>
          <cell r="C1526">
            <v>24</v>
          </cell>
          <cell r="D1526" t="str">
            <v>pcs</v>
          </cell>
          <cell r="E1526">
            <v>19000</v>
          </cell>
          <cell r="F1526">
            <v>152000</v>
          </cell>
          <cell r="G1526">
            <v>791.66666666666663</v>
          </cell>
          <cell r="Q1526">
            <v>22000</v>
          </cell>
          <cell r="S1526" t="str">
            <v>pak</v>
          </cell>
        </row>
        <row r="1527">
          <cell r="A1527" t="str">
            <v>CLOUDK</v>
          </cell>
          <cell r="B1527" t="str">
            <v>Snack  CLOUD KECIL</v>
          </cell>
          <cell r="C1527">
            <v>24</v>
          </cell>
          <cell r="D1527" t="str">
            <v>pcs</v>
          </cell>
          <cell r="E1527">
            <v>9250</v>
          </cell>
          <cell r="F1527">
            <v>74000</v>
          </cell>
          <cell r="G1527">
            <v>385.41666666666669</v>
          </cell>
          <cell r="Q1527">
            <v>11000</v>
          </cell>
          <cell r="S1527" t="str">
            <v>pak</v>
          </cell>
        </row>
        <row r="1528">
          <cell r="A1528" t="str">
            <v>VAN</v>
          </cell>
          <cell r="B1528" t="str">
            <v>Snack  VAN Wheat</v>
          </cell>
          <cell r="C1528">
            <v>24</v>
          </cell>
          <cell r="D1528" t="str">
            <v>pcs</v>
          </cell>
          <cell r="E1528">
            <v>10233.333333333334</v>
          </cell>
          <cell r="F1528">
            <v>307000</v>
          </cell>
          <cell r="G1528">
            <v>426.38888888888891</v>
          </cell>
          <cell r="Q1528">
            <v>11000</v>
          </cell>
          <cell r="S1528" t="str">
            <v>pak</v>
          </cell>
        </row>
        <row r="1529">
          <cell r="A1529" t="str">
            <v>BLACKP</v>
          </cell>
          <cell r="B1529" t="str">
            <v>Snack  Black Sanwich Pak</v>
          </cell>
          <cell r="C1529">
            <v>20</v>
          </cell>
          <cell r="D1529" t="str">
            <v>pcs</v>
          </cell>
          <cell r="E1529">
            <v>8083.333333333333</v>
          </cell>
          <cell r="F1529">
            <v>48500</v>
          </cell>
          <cell r="G1529">
            <v>404.16666666666663</v>
          </cell>
          <cell r="Q1529">
            <v>9500</v>
          </cell>
          <cell r="S1529" t="str">
            <v>pak</v>
          </cell>
        </row>
        <row r="1530">
          <cell r="A1530" t="str">
            <v>CABEAN</v>
          </cell>
          <cell r="B1530" t="str">
            <v>Snack  CABE CABEAN</v>
          </cell>
          <cell r="C1530">
            <v>24</v>
          </cell>
          <cell r="D1530" t="str">
            <v>pcs</v>
          </cell>
          <cell r="E1530">
            <v>108000</v>
          </cell>
          <cell r="F1530">
            <v>54000</v>
          </cell>
          <cell r="G1530">
            <v>4500</v>
          </cell>
          <cell r="H1530">
            <v>5500</v>
          </cell>
          <cell r="I1530" t="str">
            <v>pc</v>
          </cell>
          <cell r="J1530">
            <v>5200</v>
          </cell>
          <cell r="L1530">
            <v>4800</v>
          </cell>
          <cell r="M1530" t="str">
            <v>pc</v>
          </cell>
          <cell r="T1530">
            <v>57000</v>
          </cell>
          <cell r="U1530">
            <v>12</v>
          </cell>
          <cell r="V1530" t="str">
            <v>lsn</v>
          </cell>
          <cell r="W1530">
            <v>4700</v>
          </cell>
          <cell r="X1530" t="str">
            <v>pc</v>
          </cell>
          <cell r="Y1530">
            <v>4750</v>
          </cell>
          <cell r="Z1530" t="str">
            <v>pc</v>
          </cell>
        </row>
        <row r="1531">
          <cell r="A1531" t="str">
            <v>RITZP</v>
          </cell>
          <cell r="B1531" t="str">
            <v>Snack  RITZ SANDWICH CHESE</v>
          </cell>
          <cell r="C1531">
            <v>12</v>
          </cell>
          <cell r="D1531" t="str">
            <v>pcs</v>
          </cell>
          <cell r="E1531">
            <v>22572</v>
          </cell>
          <cell r="G1531">
            <v>1881</v>
          </cell>
          <cell r="Q1531">
            <v>23000</v>
          </cell>
          <cell r="S1531" t="str">
            <v>pak</v>
          </cell>
        </row>
        <row r="1532">
          <cell r="A1532" t="str">
            <v>TOBE</v>
          </cell>
          <cell r="B1532" t="str">
            <v>Snack  TOBE BALL</v>
          </cell>
          <cell r="C1532">
            <v>10</v>
          </cell>
          <cell r="D1532" t="str">
            <v>pcs</v>
          </cell>
          <cell r="E1532">
            <v>4150</v>
          </cell>
          <cell r="F1532">
            <v>41500</v>
          </cell>
          <cell r="G1532">
            <v>415</v>
          </cell>
          <cell r="Q1532">
            <v>5000</v>
          </cell>
          <cell r="S1532" t="str">
            <v>pak</v>
          </cell>
        </row>
        <row r="1533">
          <cell r="A1533" t="str">
            <v>TIME</v>
          </cell>
          <cell r="B1533" t="str">
            <v>Snack  COOKIES TIME</v>
          </cell>
          <cell r="C1533">
            <v>20</v>
          </cell>
          <cell r="D1533" t="str">
            <v>pak</v>
          </cell>
          <cell r="E1533">
            <v>8333.3333333333339</v>
          </cell>
          <cell r="F1533">
            <v>50000</v>
          </cell>
          <cell r="G1533">
            <v>416.66666666666669</v>
          </cell>
          <cell r="Q1533">
            <v>9500</v>
          </cell>
          <cell r="S1533" t="str">
            <v>pak</v>
          </cell>
        </row>
        <row r="1534">
          <cell r="A1534" t="str">
            <v>KUMKUMtp</v>
          </cell>
          <cell r="B1534" t="str">
            <v>Snack  KUM KUM TOPLES</v>
          </cell>
          <cell r="C1534">
            <v>30</v>
          </cell>
          <cell r="D1534" t="str">
            <v>tpl</v>
          </cell>
          <cell r="E1534">
            <v>12166.666666666666</v>
          </cell>
          <cell r="F1534">
            <v>73000</v>
          </cell>
          <cell r="G1534">
            <v>405.55555555555554</v>
          </cell>
          <cell r="Q1534">
            <v>13500</v>
          </cell>
          <cell r="S1534" t="str">
            <v>pak</v>
          </cell>
        </row>
        <row r="1535">
          <cell r="A1535" t="str">
            <v>KUMKUMCr</v>
          </cell>
          <cell r="B1535" t="str">
            <v>Snack  KUM KUM CERET/TEKO</v>
          </cell>
          <cell r="C1535">
            <v>50</v>
          </cell>
          <cell r="D1535" t="str">
            <v>tpl</v>
          </cell>
          <cell r="E1535">
            <v>18833.333333333332</v>
          </cell>
          <cell r="F1535">
            <v>113000</v>
          </cell>
          <cell r="G1535">
            <v>376.66666666666663</v>
          </cell>
          <cell r="Q1535">
            <v>22000</v>
          </cell>
          <cell r="S1535" t="str">
            <v>pak</v>
          </cell>
        </row>
        <row r="1536">
          <cell r="A1536" t="str">
            <v>KUMKUMB</v>
          </cell>
          <cell r="B1536" t="str">
            <v>Snack  KUM KUM BONEKA</v>
          </cell>
          <cell r="C1536">
            <v>30</v>
          </cell>
          <cell r="D1536" t="str">
            <v>pak</v>
          </cell>
          <cell r="E1536">
            <v>11650</v>
          </cell>
          <cell r="F1536">
            <v>116500</v>
          </cell>
          <cell r="G1536">
            <v>388.33333333333331</v>
          </cell>
          <cell r="Q1536">
            <v>13500</v>
          </cell>
          <cell r="S1536" t="str">
            <v>pak</v>
          </cell>
        </row>
        <row r="1537">
          <cell r="A1537" t="str">
            <v>KIPAS</v>
          </cell>
          <cell r="B1537" t="str">
            <v>Snack  KUE KIPAS</v>
          </cell>
          <cell r="C1537">
            <v>20</v>
          </cell>
          <cell r="D1537" t="str">
            <v>pak</v>
          </cell>
          <cell r="E1537">
            <v>8416.6666666666661</v>
          </cell>
          <cell r="F1537">
            <v>50500</v>
          </cell>
          <cell r="G1537">
            <v>420.83333333333331</v>
          </cell>
          <cell r="Q1537">
            <v>9000</v>
          </cell>
          <cell r="S1537" t="str">
            <v>pak</v>
          </cell>
        </row>
        <row r="1538">
          <cell r="A1538" t="str">
            <v>SAGON</v>
          </cell>
          <cell r="B1538" t="str">
            <v>Snack  SAGON</v>
          </cell>
          <cell r="C1538">
            <v>10</v>
          </cell>
          <cell r="D1538" t="str">
            <v>pak</v>
          </cell>
          <cell r="E1538">
            <v>8000</v>
          </cell>
          <cell r="F1538">
            <v>40000</v>
          </cell>
          <cell r="G1538">
            <v>800</v>
          </cell>
          <cell r="Q1538">
            <v>9000</v>
          </cell>
          <cell r="S1538" t="str">
            <v>pak</v>
          </cell>
        </row>
        <row r="1539">
          <cell r="A1539" t="str">
            <v>PADIMAS</v>
          </cell>
          <cell r="B1539" t="str">
            <v>Snack  BOLU PADIMAS</v>
          </cell>
          <cell r="C1539">
            <v>24</v>
          </cell>
          <cell r="D1539" t="str">
            <v>pak</v>
          </cell>
          <cell r="E1539">
            <v>11375</v>
          </cell>
          <cell r="F1539">
            <v>91000</v>
          </cell>
          <cell r="G1539">
            <v>473.95833333333331</v>
          </cell>
          <cell r="Q1539">
            <v>13000</v>
          </cell>
          <cell r="S1539" t="str">
            <v>pak</v>
          </cell>
        </row>
        <row r="1540">
          <cell r="A1540" t="str">
            <v>SOFTC</v>
          </cell>
          <cell r="B1540" t="str">
            <v>Snack  BOLU Keju SOFT CAKE 16 gr</v>
          </cell>
          <cell r="C1540">
            <v>12</v>
          </cell>
          <cell r="D1540" t="str">
            <v>pak</v>
          </cell>
          <cell r="E1540">
            <v>19681.333333333332</v>
          </cell>
          <cell r="F1540">
            <v>19681.333333333332</v>
          </cell>
          <cell r="G1540">
            <v>1640.1111111111111</v>
          </cell>
          <cell r="H1540">
            <v>2000</v>
          </cell>
          <cell r="Q1540">
            <v>21000</v>
          </cell>
          <cell r="S1540" t="str">
            <v>pak</v>
          </cell>
        </row>
        <row r="1541">
          <cell r="A1541" t="str">
            <v>SELAI</v>
          </cell>
          <cell r="B1541" t="str">
            <v>Snack  SELAI</v>
          </cell>
          <cell r="C1541">
            <v>10</v>
          </cell>
          <cell r="D1541" t="str">
            <v>pak</v>
          </cell>
          <cell r="E1541">
            <v>4333.333333333333</v>
          </cell>
          <cell r="F1541">
            <v>52000</v>
          </cell>
          <cell r="G1541">
            <v>433.33333333333331</v>
          </cell>
          <cell r="Q1541">
            <v>5000</v>
          </cell>
          <cell r="S1541" t="str">
            <v>pak</v>
          </cell>
        </row>
        <row r="1542">
          <cell r="A1542" t="str">
            <v>BIMO</v>
          </cell>
          <cell r="B1542" t="str">
            <v>Snack  BIMO COKLAT</v>
          </cell>
          <cell r="C1542">
            <v>12</v>
          </cell>
          <cell r="D1542" t="str">
            <v>tpl</v>
          </cell>
          <cell r="E1542">
            <v>336500</v>
          </cell>
          <cell r="G1542">
            <v>28041.666666666668</v>
          </cell>
          <cell r="Q1542">
            <v>30000</v>
          </cell>
          <cell r="S1542" t="str">
            <v>tpls</v>
          </cell>
        </row>
        <row r="1543">
          <cell r="A1543" t="str">
            <v>POKEMONT</v>
          </cell>
          <cell r="B1543" t="str">
            <v>Snack  ICHIBAN POKEMON TOPLES</v>
          </cell>
          <cell r="C1543">
            <v>30</v>
          </cell>
          <cell r="D1543" t="str">
            <v>pak</v>
          </cell>
          <cell r="E1543">
            <v>12166.666666666666</v>
          </cell>
          <cell r="F1543">
            <v>73000</v>
          </cell>
          <cell r="G1543">
            <v>405.55555555555554</v>
          </cell>
          <cell r="Q1543">
            <v>13500</v>
          </cell>
          <cell r="S1543" t="str">
            <v>tpls</v>
          </cell>
        </row>
        <row r="1544">
          <cell r="A1544" t="str">
            <v>POKEMONC</v>
          </cell>
          <cell r="B1544" t="str">
            <v>Snack  COKLAT POKEMON</v>
          </cell>
          <cell r="C1544">
            <v>20</v>
          </cell>
          <cell r="D1544" t="str">
            <v>pak</v>
          </cell>
          <cell r="E1544">
            <v>9527.7777777777774</v>
          </cell>
          <cell r="F1544">
            <v>343000</v>
          </cell>
          <cell r="G1544">
            <v>476.38888888888886</v>
          </cell>
          <cell r="Q1544">
            <v>11000</v>
          </cell>
          <cell r="S1544" t="str">
            <v>pak</v>
          </cell>
        </row>
        <row r="1545">
          <cell r="A1545" t="str">
            <v>NEXTAR</v>
          </cell>
          <cell r="B1545" t="str">
            <v>Snack  NEXTAR</v>
          </cell>
          <cell r="C1545">
            <v>10</v>
          </cell>
          <cell r="D1545" t="str">
            <v>pcs</v>
          </cell>
          <cell r="E1545">
            <v>18000</v>
          </cell>
          <cell r="F1545">
            <v>108000</v>
          </cell>
          <cell r="G1545">
            <v>1800</v>
          </cell>
          <cell r="Q1545">
            <v>19000</v>
          </cell>
          <cell r="S1545" t="str">
            <v>pak</v>
          </cell>
        </row>
        <row r="1546">
          <cell r="A1546" t="str">
            <v>PANDACHIPS</v>
          </cell>
          <cell r="B1546" t="str">
            <v>Snack  PANDA CHIPS</v>
          </cell>
          <cell r="C1546">
            <v>10</v>
          </cell>
          <cell r="D1546" t="str">
            <v>rtg</v>
          </cell>
          <cell r="E1546">
            <v>4083.3333333333335</v>
          </cell>
          <cell r="F1546">
            <v>49000</v>
          </cell>
          <cell r="G1546">
            <v>408.33333333333337</v>
          </cell>
          <cell r="N1546">
            <v>4500</v>
          </cell>
          <cell r="O1546">
            <v>10</v>
          </cell>
          <cell r="P1546" t="str">
            <v>rtg</v>
          </cell>
        </row>
        <row r="1547">
          <cell r="A1547" t="str">
            <v>AIREO</v>
          </cell>
          <cell r="B1547" t="str">
            <v>Snack Aireo</v>
          </cell>
          <cell r="C1547">
            <v>20</v>
          </cell>
          <cell r="D1547" t="str">
            <v>pak</v>
          </cell>
          <cell r="E1547">
            <v>8250</v>
          </cell>
          <cell r="F1547">
            <v>33000</v>
          </cell>
          <cell r="G1547">
            <v>412.5</v>
          </cell>
          <cell r="Q1547">
            <v>9000</v>
          </cell>
          <cell r="R1547">
            <v>20</v>
          </cell>
          <cell r="S1547" t="str">
            <v>pak</v>
          </cell>
          <cell r="W1547">
            <v>4500</v>
          </cell>
          <cell r="X1547">
            <v>0</v>
          </cell>
        </row>
        <row r="1548">
          <cell r="A1548" t="str">
            <v>AMERICAN</v>
          </cell>
          <cell r="B1548" t="str">
            <v>Snack AMERICAN Foot Ball</v>
          </cell>
          <cell r="C1548">
            <v>100</v>
          </cell>
          <cell r="D1548" t="str">
            <v>pak</v>
          </cell>
          <cell r="E1548">
            <v>20666.666666666668</v>
          </cell>
          <cell r="F1548">
            <v>124000</v>
          </cell>
          <cell r="G1548">
            <v>206.66666666666669</v>
          </cell>
          <cell r="Q1548">
            <v>23000</v>
          </cell>
          <cell r="R1548">
            <v>100</v>
          </cell>
          <cell r="S1548" t="str">
            <v>pak</v>
          </cell>
        </row>
        <row r="1549">
          <cell r="A1549" t="str">
            <v>CHIZMILL</v>
          </cell>
          <cell r="B1549" t="str">
            <v>Snack CHIZMILL</v>
          </cell>
          <cell r="C1549">
            <v>12</v>
          </cell>
          <cell r="D1549" t="str">
            <v>pak</v>
          </cell>
          <cell r="E1549">
            <v>19000</v>
          </cell>
          <cell r="F1549">
            <v>288000</v>
          </cell>
          <cell r="G1549">
            <v>1583.3333333333333</v>
          </cell>
          <cell r="H1549">
            <v>2000</v>
          </cell>
          <cell r="I1549" t="str">
            <v>pc</v>
          </cell>
          <cell r="J1549">
            <v>2000</v>
          </cell>
          <cell r="K1549" t="str">
            <v>pc</v>
          </cell>
          <cell r="Q1549">
            <v>22000</v>
          </cell>
          <cell r="R1549">
            <v>12</v>
          </cell>
          <cell r="S1549" t="str">
            <v>pak</v>
          </cell>
        </row>
        <row r="1550">
          <cell r="A1550" t="str">
            <v>ASIK</v>
          </cell>
          <cell r="B1550" t="str">
            <v>Snack ASIK</v>
          </cell>
          <cell r="C1550">
            <v>10</v>
          </cell>
          <cell r="D1550" t="str">
            <v>pak</v>
          </cell>
          <cell r="E1550">
            <v>4208.333333333333</v>
          </cell>
          <cell r="F1550">
            <v>50500</v>
          </cell>
          <cell r="G1550">
            <v>420.83333333333331</v>
          </cell>
          <cell r="Q1550">
            <v>9000</v>
          </cell>
          <cell r="R1550">
            <v>20</v>
          </cell>
          <cell r="S1550" t="str">
            <v>pak</v>
          </cell>
        </row>
        <row r="1551">
          <cell r="A1551" t="str">
            <v>ASTAGA</v>
          </cell>
          <cell r="B1551" t="str">
            <v>Snack Astaga</v>
          </cell>
          <cell r="C1551">
            <v>20</v>
          </cell>
          <cell r="D1551" t="str">
            <v>pak</v>
          </cell>
          <cell r="E1551">
            <v>8375</v>
          </cell>
          <cell r="F1551">
            <v>67000</v>
          </cell>
          <cell r="G1551">
            <v>418.75</v>
          </cell>
          <cell r="Q1551">
            <v>9500</v>
          </cell>
          <cell r="R1551">
            <v>20</v>
          </cell>
          <cell r="S1551" t="str">
            <v>pak</v>
          </cell>
        </row>
        <row r="1552">
          <cell r="A1552" t="str">
            <v>MOJORICO90</v>
          </cell>
          <cell r="B1552" t="str">
            <v>Snack MOJORICO WAFER ROLL 90</v>
          </cell>
          <cell r="C1552">
            <v>24</v>
          </cell>
          <cell r="D1552" t="str">
            <v>pcs</v>
          </cell>
          <cell r="E1552">
            <v>97500</v>
          </cell>
          <cell r="F1552">
            <v>48750</v>
          </cell>
          <cell r="G1552">
            <v>4062.5</v>
          </cell>
          <cell r="H1552">
            <v>5000</v>
          </cell>
          <cell r="I1552" t="str">
            <v>pc</v>
          </cell>
          <cell r="J1552">
            <v>4600</v>
          </cell>
          <cell r="K1552" t="str">
            <v>pc</v>
          </cell>
          <cell r="L1552">
            <v>4300</v>
          </cell>
          <cell r="M1552" t="str">
            <v>pc</v>
          </cell>
          <cell r="T1552">
            <v>51000</v>
          </cell>
          <cell r="U1552">
            <v>12</v>
          </cell>
          <cell r="V1552" t="str">
            <v>lsn</v>
          </cell>
          <cell r="W1552">
            <v>4200</v>
          </cell>
          <cell r="X1552" t="str">
            <v>pc</v>
          </cell>
          <cell r="Y1552">
            <v>4250</v>
          </cell>
          <cell r="Z1552" t="str">
            <v>pc</v>
          </cell>
        </row>
        <row r="1553">
          <cell r="A1553" t="str">
            <v>CHIKOMINI</v>
          </cell>
          <cell r="B1553" t="str">
            <v>Snack CHIKO MINI WAFER</v>
          </cell>
          <cell r="C1553">
            <v>3</v>
          </cell>
          <cell r="D1553" t="str">
            <v>pcs</v>
          </cell>
          <cell r="E1553">
            <v>5300</v>
          </cell>
          <cell r="F1553">
            <v>53000</v>
          </cell>
          <cell r="G1553">
            <v>1766.6666666666667</v>
          </cell>
          <cell r="Q1553">
            <v>6000</v>
          </cell>
          <cell r="S1553" t="str">
            <v>pak</v>
          </cell>
        </row>
        <row r="1554">
          <cell r="A1554" t="str">
            <v>CHIKOW</v>
          </cell>
          <cell r="B1554" t="str">
            <v>Snack CHIKO WAFER</v>
          </cell>
          <cell r="C1554">
            <v>20</v>
          </cell>
          <cell r="D1554" t="str">
            <v>pcs</v>
          </cell>
          <cell r="E1554">
            <v>8222.2222222222226</v>
          </cell>
          <cell r="F1554">
            <v>74000</v>
          </cell>
          <cell r="G1554">
            <v>411.11111111111114</v>
          </cell>
          <cell r="Q1554">
            <v>9500</v>
          </cell>
          <cell r="S1554" t="str">
            <v>pak</v>
          </cell>
        </row>
        <row r="1555">
          <cell r="A1555" t="str">
            <v>ASTORMINI</v>
          </cell>
          <cell r="B1555" t="str">
            <v>Snack ASTOR MINI STICK</v>
          </cell>
          <cell r="C1555">
            <v>12</v>
          </cell>
          <cell r="D1555" t="str">
            <v>pak</v>
          </cell>
          <cell r="E1555">
            <v>10200</v>
          </cell>
          <cell r="F1555">
            <v>102000</v>
          </cell>
          <cell r="G1555">
            <v>850</v>
          </cell>
          <cell r="Q1555">
            <v>11000</v>
          </cell>
          <cell r="R1555">
            <v>12</v>
          </cell>
          <cell r="S1555" t="str">
            <v>pak</v>
          </cell>
          <cell r="AA1555">
            <v>105000</v>
          </cell>
          <cell r="AB1555" t="str">
            <v>dos</v>
          </cell>
        </row>
        <row r="1556">
          <cell r="A1556" t="str">
            <v>ASTOR</v>
          </cell>
          <cell r="B1556" t="str">
            <v>Snack ASTOR 150</v>
          </cell>
          <cell r="C1556">
            <v>20</v>
          </cell>
          <cell r="D1556" t="str">
            <v>pcs</v>
          </cell>
          <cell r="E1556">
            <v>172000.4</v>
          </cell>
          <cell r="F1556">
            <v>103200.24</v>
          </cell>
          <cell r="G1556">
            <v>8600.02</v>
          </cell>
          <cell r="H1556">
            <v>10000</v>
          </cell>
          <cell r="I1556" t="str">
            <v>pc</v>
          </cell>
          <cell r="J1556">
            <v>10000</v>
          </cell>
          <cell r="K1556" t="str">
            <v>pc</v>
          </cell>
          <cell r="L1556">
            <v>9500</v>
          </cell>
          <cell r="M1556" t="str">
            <v>pc</v>
          </cell>
        </row>
        <row r="1557">
          <cell r="A1557" t="str">
            <v>ALILA</v>
          </cell>
          <cell r="B1557" t="str">
            <v>Snack ASTOR ALILA</v>
          </cell>
          <cell r="C1557">
            <v>6</v>
          </cell>
          <cell r="D1557" t="str">
            <v>pcs</v>
          </cell>
          <cell r="E1557">
            <v>79000</v>
          </cell>
          <cell r="F1557">
            <v>76668</v>
          </cell>
          <cell r="G1557">
            <v>13166.666666666666</v>
          </cell>
          <cell r="H1557">
            <v>15000</v>
          </cell>
          <cell r="I1557" t="str">
            <v>pc</v>
          </cell>
          <cell r="J1557">
            <v>14500</v>
          </cell>
          <cell r="K1557" t="str">
            <v>pc</v>
          </cell>
          <cell r="L1557">
            <v>14000</v>
          </cell>
          <cell r="M1557" t="str">
            <v>pc</v>
          </cell>
          <cell r="Y1557">
            <v>13900</v>
          </cell>
          <cell r="Z1557" t="str">
            <v>pc</v>
          </cell>
          <cell r="AA1557">
            <v>83000</v>
          </cell>
          <cell r="AB1557" t="str">
            <v>dos</v>
          </cell>
        </row>
        <row r="1558">
          <cell r="A1558" t="str">
            <v>AVENGERS</v>
          </cell>
          <cell r="B1558" t="str">
            <v>Snack AVENGER 14 GR</v>
          </cell>
          <cell r="C1558">
            <v>20</v>
          </cell>
          <cell r="D1558" t="str">
            <v>pcs</v>
          </cell>
          <cell r="E1558">
            <v>15800.033333333333</v>
          </cell>
          <cell r="F1558">
            <v>94800.2</v>
          </cell>
          <cell r="G1558">
            <v>790.00166666666667</v>
          </cell>
          <cell r="H1558">
            <v>3500</v>
          </cell>
          <cell r="I1558" t="str">
            <v>pc</v>
          </cell>
          <cell r="J1558">
            <v>3500</v>
          </cell>
          <cell r="K1558" t="str">
            <v>pc</v>
          </cell>
          <cell r="L1558">
            <v>3500</v>
          </cell>
          <cell r="M1558" t="str">
            <v>pc</v>
          </cell>
          <cell r="Q1558">
            <v>17000</v>
          </cell>
          <cell r="R1558">
            <v>20</v>
          </cell>
          <cell r="S1558" t="str">
            <v>pak</v>
          </cell>
          <cell r="AA1558">
            <v>97500</v>
          </cell>
          <cell r="AB1558" t="str">
            <v>dos</v>
          </cell>
        </row>
        <row r="1559">
          <cell r="A1559" t="str">
            <v>BALADOP</v>
          </cell>
          <cell r="B1559" t="str">
            <v>Snack BALADO STICK BIG 1</v>
          </cell>
          <cell r="C1559">
            <v>10</v>
          </cell>
          <cell r="D1559" t="str">
            <v>pcs</v>
          </cell>
          <cell r="E1559">
            <v>7666.666666666667</v>
          </cell>
          <cell r="F1559">
            <v>92000</v>
          </cell>
          <cell r="G1559">
            <v>766.66666666666674</v>
          </cell>
          <cell r="Q1559">
            <v>9000</v>
          </cell>
          <cell r="R1559">
            <v>10</v>
          </cell>
          <cell r="S1559" t="str">
            <v>pak</v>
          </cell>
          <cell r="AA1559">
            <v>95000</v>
          </cell>
          <cell r="AB1559" t="str">
            <v>dos</v>
          </cell>
        </row>
        <row r="1560">
          <cell r="A1560" t="str">
            <v>BALLET</v>
          </cell>
          <cell r="B1560" t="str">
            <v>Snack Ballet Twist Gum</v>
          </cell>
          <cell r="C1560">
            <v>24</v>
          </cell>
          <cell r="D1560" t="str">
            <v>pak</v>
          </cell>
          <cell r="E1560">
            <v>9500</v>
          </cell>
          <cell r="F1560">
            <v>114000</v>
          </cell>
          <cell r="G1560">
            <v>395.83333333333331</v>
          </cell>
          <cell r="Q1560">
            <v>11000</v>
          </cell>
          <cell r="R1560">
            <v>24</v>
          </cell>
          <cell r="S1560" t="str">
            <v>pak</v>
          </cell>
          <cell r="AA1560">
            <v>117000</v>
          </cell>
          <cell r="AB1560" t="str">
            <v>dos</v>
          </cell>
        </row>
        <row r="1561">
          <cell r="A1561" t="str">
            <v>BENGK</v>
          </cell>
          <cell r="B1561" t="str">
            <v>Snack Beng-beng isi 20 Kecil</v>
          </cell>
          <cell r="C1561">
            <v>20</v>
          </cell>
          <cell r="D1561" t="str">
            <v>pak</v>
          </cell>
          <cell r="E1561">
            <v>26499.962500000001</v>
          </cell>
          <cell r="F1561">
            <v>211999.7</v>
          </cell>
          <cell r="G1561">
            <v>1324.9981250000001</v>
          </cell>
          <cell r="Q1561">
            <v>28000</v>
          </cell>
          <cell r="R1561">
            <v>20</v>
          </cell>
          <cell r="S1561" t="str">
            <v>pak</v>
          </cell>
          <cell r="AA1561">
            <v>218000</v>
          </cell>
          <cell r="AB1561" t="str">
            <v>dos</v>
          </cell>
        </row>
        <row r="1562">
          <cell r="A1562" t="str">
            <v>BENGB</v>
          </cell>
          <cell r="B1562" t="str">
            <v>Snack Beng-beng Besar</v>
          </cell>
          <cell r="C1562">
            <v>12</v>
          </cell>
          <cell r="D1562" t="str">
            <v>pak</v>
          </cell>
          <cell r="E1562">
            <v>24750</v>
          </cell>
          <cell r="F1562">
            <v>198000</v>
          </cell>
          <cell r="G1562">
            <v>2062.5</v>
          </cell>
          <cell r="H1562">
            <v>3000</v>
          </cell>
          <cell r="I1562" t="str">
            <v>pc</v>
          </cell>
          <cell r="Q1562">
            <v>27000</v>
          </cell>
          <cell r="R1562">
            <v>12</v>
          </cell>
          <cell r="S1562" t="str">
            <v>pak</v>
          </cell>
          <cell r="AA1562">
            <v>218000</v>
          </cell>
          <cell r="AB1562" t="str">
            <v>dos</v>
          </cell>
        </row>
        <row r="1563">
          <cell r="A1563" t="str">
            <v>BENG1</v>
          </cell>
          <cell r="B1563" t="str">
            <v>Minuman Serbuk Beng beng</v>
          </cell>
          <cell r="C1563">
            <v>10</v>
          </cell>
          <cell r="D1563" t="str">
            <v>rtg</v>
          </cell>
          <cell r="E1563">
            <v>15000.012500000001</v>
          </cell>
          <cell r="F1563">
            <v>120000.1</v>
          </cell>
          <cell r="G1563">
            <v>1500.00125</v>
          </cell>
          <cell r="N1563">
            <v>17000</v>
          </cell>
          <cell r="P1563" t="str">
            <v>rtg</v>
          </cell>
        </row>
        <row r="1564">
          <cell r="A1564" t="str">
            <v>BERRIB</v>
          </cell>
          <cell r="B1564" t="str">
            <v>Snack Berri Ball</v>
          </cell>
          <cell r="C1564">
            <v>20</v>
          </cell>
          <cell r="D1564" t="str">
            <v>rtg</v>
          </cell>
          <cell r="E1564">
            <v>0</v>
          </cell>
          <cell r="G1564">
            <v>0</v>
          </cell>
          <cell r="Q1564">
            <v>9000</v>
          </cell>
          <cell r="R1564">
            <v>20</v>
          </cell>
          <cell r="S1564" t="str">
            <v>pak</v>
          </cell>
          <cell r="AA1564">
            <v>83000</v>
          </cell>
          <cell r="AB1564" t="str">
            <v>dos</v>
          </cell>
        </row>
        <row r="1565">
          <cell r="A1565" t="str">
            <v>BERRIS</v>
          </cell>
          <cell r="B1565" t="str">
            <v>Snack Berri Mesis Rtg</v>
          </cell>
          <cell r="C1565">
            <v>10</v>
          </cell>
          <cell r="D1565" t="str">
            <v>rtg</v>
          </cell>
          <cell r="E1565">
            <v>4208.333333333333</v>
          </cell>
          <cell r="F1565">
            <v>12625</v>
          </cell>
          <cell r="G1565">
            <v>420.83333333333331</v>
          </cell>
          <cell r="Q1565">
            <v>13500</v>
          </cell>
          <cell r="R1565">
            <v>10</v>
          </cell>
          <cell r="S1565" t="str">
            <v>pak</v>
          </cell>
          <cell r="AA1565">
            <v>154000</v>
          </cell>
          <cell r="AB1565" t="str">
            <v>dos</v>
          </cell>
        </row>
        <row r="1566">
          <cell r="A1566" t="str">
            <v>BETTER</v>
          </cell>
          <cell r="B1566" t="str">
            <v>Snack Better Roma</v>
          </cell>
          <cell r="C1566">
            <v>10</v>
          </cell>
          <cell r="D1566" t="str">
            <v>rtg</v>
          </cell>
          <cell r="E1566">
            <v>12300</v>
          </cell>
          <cell r="F1566">
            <v>24600</v>
          </cell>
          <cell r="G1566">
            <v>1230</v>
          </cell>
          <cell r="Q1566">
            <v>9000</v>
          </cell>
          <cell r="S1566" t="str">
            <v>pak</v>
          </cell>
        </row>
        <row r="1567">
          <cell r="A1567" t="str">
            <v>ICECONE</v>
          </cell>
          <cell r="B1567" t="str">
            <v>Snack ICE CONE</v>
          </cell>
          <cell r="C1567">
            <v>12</v>
          </cell>
          <cell r="D1567" t="str">
            <v>pcs</v>
          </cell>
          <cell r="E1567">
            <v>11166.666666666666</v>
          </cell>
          <cell r="F1567">
            <v>67000</v>
          </cell>
          <cell r="G1567">
            <v>930.55555555555554</v>
          </cell>
          <cell r="Q1567">
            <v>12500</v>
          </cell>
          <cell r="R1567">
            <v>12</v>
          </cell>
          <cell r="S1567" t="str">
            <v>Pak</v>
          </cell>
        </row>
        <row r="1568">
          <cell r="A1568" t="str">
            <v>BIGBOCONE</v>
          </cell>
          <cell r="B1568" t="str">
            <v>Snack BIG BO CONE</v>
          </cell>
          <cell r="C1568">
            <v>20</v>
          </cell>
          <cell r="D1568" t="str">
            <v>pcs</v>
          </cell>
          <cell r="E1568">
            <v>8000</v>
          </cell>
          <cell r="F1568">
            <v>48000</v>
          </cell>
          <cell r="G1568">
            <v>400</v>
          </cell>
          <cell r="Q1568">
            <v>9500</v>
          </cell>
          <cell r="R1568">
            <v>20</v>
          </cell>
          <cell r="S1568" t="str">
            <v>Pak</v>
          </cell>
          <cell r="AA1568">
            <v>51000</v>
          </cell>
          <cell r="AB1568" t="str">
            <v>dos</v>
          </cell>
        </row>
        <row r="1569">
          <cell r="A1569" t="str">
            <v>BIGBOCUP</v>
          </cell>
          <cell r="B1569" t="str">
            <v>Snack BIG BO CUP</v>
          </cell>
          <cell r="C1569">
            <v>12</v>
          </cell>
          <cell r="D1569" t="str">
            <v>pcs</v>
          </cell>
          <cell r="E1569">
            <v>9833.3333333333339</v>
          </cell>
          <cell r="F1569">
            <v>118000</v>
          </cell>
          <cell r="G1569">
            <v>819.44444444444446</v>
          </cell>
          <cell r="Q1569">
            <v>10500</v>
          </cell>
          <cell r="R1569">
            <v>12</v>
          </cell>
          <cell r="S1569" t="str">
            <v>Pak</v>
          </cell>
          <cell r="AA1569">
            <v>121000</v>
          </cell>
          <cell r="AB1569" t="str">
            <v>dos</v>
          </cell>
        </row>
        <row r="1570">
          <cell r="A1570" t="str">
            <v>BIGBOP</v>
          </cell>
          <cell r="B1570" t="str">
            <v>Snack BIG BO PAK</v>
          </cell>
          <cell r="C1570">
            <v>20</v>
          </cell>
          <cell r="D1570" t="str">
            <v>pcs</v>
          </cell>
          <cell r="E1570">
            <v>8041.666666666667</v>
          </cell>
          <cell r="F1570">
            <v>96500</v>
          </cell>
          <cell r="G1570">
            <v>402.08333333333337</v>
          </cell>
          <cell r="Q1570">
            <v>9000</v>
          </cell>
          <cell r="R1570">
            <v>20</v>
          </cell>
          <cell r="S1570" t="str">
            <v>Pak</v>
          </cell>
          <cell r="AA1570">
            <v>99500</v>
          </cell>
          <cell r="AB1570" t="str">
            <v>dos</v>
          </cell>
        </row>
        <row r="1571">
          <cell r="A1571" t="str">
            <v>BIGBOT</v>
          </cell>
          <cell r="B1571" t="str">
            <v>Snack BIG BO Toples</v>
          </cell>
          <cell r="C1571">
            <v>50</v>
          </cell>
          <cell r="D1571" t="str">
            <v>pcs</v>
          </cell>
          <cell r="E1571">
            <v>20000</v>
          </cell>
          <cell r="F1571">
            <v>120000</v>
          </cell>
          <cell r="G1571">
            <v>400</v>
          </cell>
          <cell r="Q1571">
            <v>22500</v>
          </cell>
          <cell r="R1571">
            <v>50</v>
          </cell>
          <cell r="S1571" t="str">
            <v>tpls</v>
          </cell>
          <cell r="AA1571">
            <v>123000</v>
          </cell>
          <cell r="AB1571" t="str">
            <v>dos</v>
          </cell>
        </row>
        <row r="1572">
          <cell r="A1572" t="str">
            <v>WAFEL</v>
          </cell>
          <cell r="B1572" t="str">
            <v>Snack Big Wafel Mas</v>
          </cell>
          <cell r="C1572">
            <v>20</v>
          </cell>
          <cell r="D1572" t="str">
            <v>pak</v>
          </cell>
          <cell r="E1572">
            <v>8000</v>
          </cell>
          <cell r="F1572">
            <v>64000</v>
          </cell>
          <cell r="G1572">
            <v>400</v>
          </cell>
          <cell r="Q1572">
            <v>8500</v>
          </cell>
          <cell r="R1572">
            <v>20</v>
          </cell>
          <cell r="S1572" t="str">
            <v>pak</v>
          </cell>
          <cell r="AA1572">
            <v>66000</v>
          </cell>
          <cell r="AB1572" t="str">
            <v>dos</v>
          </cell>
        </row>
        <row r="1573">
          <cell r="A1573" t="str">
            <v>BISKUAT60</v>
          </cell>
          <cell r="B1573" t="str">
            <v>Snack Biskuat Pak isi 4 pcs</v>
          </cell>
          <cell r="C1573">
            <v>4</v>
          </cell>
          <cell r="D1573" t="str">
            <v>pak</v>
          </cell>
          <cell r="E1573">
            <v>9702</v>
          </cell>
          <cell r="F1573">
            <v>29106</v>
          </cell>
          <cell r="G1573">
            <v>2425.5</v>
          </cell>
          <cell r="H1573">
            <v>3000</v>
          </cell>
          <cell r="I1573" t="str">
            <v>pc</v>
          </cell>
          <cell r="J1573">
            <v>3000</v>
          </cell>
          <cell r="K1573" t="str">
            <v>pc</v>
          </cell>
          <cell r="L1573">
            <v>2750</v>
          </cell>
          <cell r="M1573" t="str">
            <v>pc</v>
          </cell>
          <cell r="Q1573">
            <v>11000</v>
          </cell>
          <cell r="R1573">
            <v>4</v>
          </cell>
          <cell r="S1573" t="str">
            <v>pak</v>
          </cell>
        </row>
        <row r="1574">
          <cell r="A1574" t="str">
            <v>BISKUAT140</v>
          </cell>
          <cell r="B1574" t="str">
            <v>Snack Biskuat Besar 140 gr</v>
          </cell>
          <cell r="C1574">
            <v>20</v>
          </cell>
          <cell r="D1574" t="str">
            <v>pcs</v>
          </cell>
          <cell r="E1574">
            <v>131406</v>
          </cell>
          <cell r="F1574">
            <v>78843.600000000006</v>
          </cell>
          <cell r="G1574">
            <v>6570.3</v>
          </cell>
          <cell r="H1574">
            <v>7500</v>
          </cell>
          <cell r="I1574" t="str">
            <v>pc</v>
          </cell>
          <cell r="J1574">
            <v>7300</v>
          </cell>
          <cell r="K1574" t="str">
            <v>pc</v>
          </cell>
          <cell r="L1574">
            <v>6900</v>
          </cell>
          <cell r="M1574" t="str">
            <v>pc</v>
          </cell>
          <cell r="T1574">
            <v>81000</v>
          </cell>
          <cell r="U1574">
            <v>12</v>
          </cell>
          <cell r="V1574" t="str">
            <v>lsn</v>
          </cell>
          <cell r="W1574">
            <v>6700</v>
          </cell>
          <cell r="X1574" t="str">
            <v>pc</v>
          </cell>
          <cell r="Y1574">
            <v>6750</v>
          </cell>
          <cell r="Z1574" t="str">
            <v>pc</v>
          </cell>
        </row>
        <row r="1575">
          <cell r="A1575" t="str">
            <v>BISKUATBL</v>
          </cell>
          <cell r="B1575" t="str">
            <v>Snack biskuat Bolu</v>
          </cell>
          <cell r="C1575">
            <v>12</v>
          </cell>
          <cell r="D1575" t="str">
            <v>pak</v>
          </cell>
          <cell r="E1575">
            <v>15483.6</v>
          </cell>
          <cell r="F1575">
            <v>185803.2</v>
          </cell>
          <cell r="G1575">
            <v>1290.3</v>
          </cell>
          <cell r="Q1575">
            <v>16500</v>
          </cell>
          <cell r="R1575">
            <v>12</v>
          </cell>
          <cell r="S1575" t="str">
            <v>pak</v>
          </cell>
          <cell r="AA1575">
            <v>189000</v>
          </cell>
          <cell r="AB1575" t="str">
            <v>dos</v>
          </cell>
        </row>
        <row r="1576">
          <cell r="A1576" t="str">
            <v>BISKUAT27</v>
          </cell>
          <cell r="B1576" t="str">
            <v>Snack Biskuat Sandwich Choco 27 gr</v>
          </cell>
          <cell r="C1576">
            <v>9</v>
          </cell>
          <cell r="D1576" t="str">
            <v>pak</v>
          </cell>
          <cell r="E1576">
            <v>11068</v>
          </cell>
          <cell r="F1576">
            <v>132816</v>
          </cell>
          <cell r="G1576">
            <v>1229.7777777777778</v>
          </cell>
          <cell r="H1576">
            <v>1500</v>
          </cell>
          <cell r="I1576" t="str">
            <v>pc</v>
          </cell>
          <cell r="J1576">
            <v>1500</v>
          </cell>
          <cell r="K1576" t="str">
            <v>pc</v>
          </cell>
          <cell r="Q1576">
            <v>12500</v>
          </cell>
          <cell r="R1576">
            <v>9</v>
          </cell>
          <cell r="S1576" t="str">
            <v>pak</v>
          </cell>
        </row>
        <row r="1577">
          <cell r="A1577" t="str">
            <v>BISKUATK</v>
          </cell>
          <cell r="B1577" t="str">
            <v>Snack biskuat k 10 Gr</v>
          </cell>
          <cell r="C1577">
            <v>20</v>
          </cell>
          <cell r="D1577" t="str">
            <v>pak</v>
          </cell>
          <cell r="E1577">
            <v>7998.666666666667</v>
          </cell>
          <cell r="F1577">
            <v>23996</v>
          </cell>
          <cell r="G1577">
            <v>399.93333333333334</v>
          </cell>
          <cell r="H1577">
            <v>1000</v>
          </cell>
          <cell r="I1577" t="str">
            <v>pc</v>
          </cell>
          <cell r="J1577">
            <v>1000</v>
          </cell>
          <cell r="K1577" t="str">
            <v>pc</v>
          </cell>
          <cell r="L1577">
            <v>1000</v>
          </cell>
          <cell r="M1577" t="str">
            <v>pc</v>
          </cell>
          <cell r="Q1577">
            <v>9000</v>
          </cell>
          <cell r="R1577">
            <v>20</v>
          </cell>
          <cell r="S1577" t="str">
            <v>pak</v>
          </cell>
        </row>
        <row r="1578">
          <cell r="A1578" t="str">
            <v>3COMBIT</v>
          </cell>
          <cell r="B1578" t="str">
            <v>Snack Bonibon 3 Combi Toples</v>
          </cell>
          <cell r="C1578">
            <v>70</v>
          </cell>
          <cell r="D1578" t="str">
            <v>pak</v>
          </cell>
          <cell r="E1578">
            <v>28833.333333333332</v>
          </cell>
          <cell r="F1578">
            <v>173000</v>
          </cell>
          <cell r="G1578">
            <v>411.90476190476187</v>
          </cell>
          <cell r="Q1578">
            <v>30000</v>
          </cell>
          <cell r="R1578">
            <v>70</v>
          </cell>
          <cell r="S1578" t="str">
            <v>pak</v>
          </cell>
          <cell r="AA1578">
            <v>52500</v>
          </cell>
          <cell r="AB1578" t="str">
            <v>dos</v>
          </cell>
        </row>
        <row r="1579">
          <cell r="A1579" t="str">
            <v>3COMBIP</v>
          </cell>
          <cell r="B1579" t="str">
            <v>Snack Bonibon 3 Combi pak</v>
          </cell>
          <cell r="C1579">
            <v>20</v>
          </cell>
          <cell r="D1579" t="str">
            <v>pak</v>
          </cell>
          <cell r="E1579">
            <v>8416.6666666666661</v>
          </cell>
          <cell r="F1579">
            <v>50500</v>
          </cell>
          <cell r="G1579">
            <v>420.83333333333331</v>
          </cell>
          <cell r="Q1579">
            <v>9500</v>
          </cell>
          <cell r="R1579">
            <v>20</v>
          </cell>
          <cell r="S1579" t="str">
            <v>pak</v>
          </cell>
          <cell r="AA1579">
            <v>52500</v>
          </cell>
          <cell r="AB1579" t="str">
            <v>dos</v>
          </cell>
        </row>
        <row r="1580">
          <cell r="A1580" t="str">
            <v>CHIPY</v>
          </cell>
          <cell r="B1580" t="str">
            <v xml:space="preserve">Snack TABELO CHIPPY </v>
          </cell>
          <cell r="C1580">
            <v>20</v>
          </cell>
          <cell r="D1580" t="str">
            <v>pak</v>
          </cell>
          <cell r="E1580">
            <v>8083.333333333333</v>
          </cell>
          <cell r="F1580">
            <v>97000</v>
          </cell>
          <cell r="G1580">
            <v>404.16666666666663</v>
          </cell>
          <cell r="Q1580">
            <v>9500</v>
          </cell>
          <cell r="R1580">
            <v>20</v>
          </cell>
          <cell r="S1580" t="str">
            <v>pak</v>
          </cell>
          <cell r="AA1580">
            <v>52500</v>
          </cell>
          <cell r="AB1580" t="str">
            <v>dos</v>
          </cell>
        </row>
        <row r="1581">
          <cell r="A1581" t="str">
            <v>BONIBONB</v>
          </cell>
          <cell r="B1581" t="str">
            <v>Snack Bonibon Besar</v>
          </cell>
          <cell r="C1581">
            <v>12</v>
          </cell>
          <cell r="D1581" t="str">
            <v>pak</v>
          </cell>
          <cell r="E1581">
            <v>10083.333333333334</v>
          </cell>
          <cell r="F1581">
            <v>121000</v>
          </cell>
          <cell r="G1581">
            <v>840.27777777777783</v>
          </cell>
          <cell r="Q1581">
            <v>11000</v>
          </cell>
          <cell r="R1581">
            <v>12</v>
          </cell>
          <cell r="S1581" t="str">
            <v>pak</v>
          </cell>
          <cell r="AA1581">
            <v>126000</v>
          </cell>
          <cell r="AB1581" t="str">
            <v>dos</v>
          </cell>
        </row>
        <row r="1582">
          <cell r="A1582" t="str">
            <v>BONIBONK</v>
          </cell>
          <cell r="B1582" t="str">
            <v>Snack Bonibon Kecil</v>
          </cell>
          <cell r="C1582">
            <v>12</v>
          </cell>
          <cell r="D1582" t="str">
            <v>pak</v>
          </cell>
          <cell r="E1582">
            <v>5250</v>
          </cell>
          <cell r="F1582">
            <v>63000</v>
          </cell>
          <cell r="G1582">
            <v>437.5</v>
          </cell>
          <cell r="Q1582">
            <v>6500</v>
          </cell>
          <cell r="R1582">
            <v>12</v>
          </cell>
          <cell r="S1582" t="str">
            <v>pak</v>
          </cell>
        </row>
        <row r="1583">
          <cell r="A1583" t="str">
            <v>BONIBONP</v>
          </cell>
          <cell r="B1583" t="str">
            <v>Snack Bonibon PASTA</v>
          </cell>
          <cell r="C1583">
            <v>12</v>
          </cell>
          <cell r="D1583" t="str">
            <v>pak</v>
          </cell>
          <cell r="E1583">
            <v>4500</v>
          </cell>
          <cell r="F1583">
            <v>54000</v>
          </cell>
          <cell r="G1583">
            <v>375</v>
          </cell>
          <cell r="Q1583">
            <v>5000</v>
          </cell>
          <cell r="R1583">
            <v>12</v>
          </cell>
          <cell r="S1583" t="str">
            <v>pak</v>
          </cell>
          <cell r="AA1583">
            <v>56500</v>
          </cell>
          <cell r="AB1583" t="str">
            <v>dos</v>
          </cell>
        </row>
        <row r="1584">
          <cell r="A1584" t="str">
            <v>HAITAC</v>
          </cell>
          <cell r="B1584" t="str">
            <v>Snack HAITAC MIX CANDY</v>
          </cell>
          <cell r="C1584">
            <v>72</v>
          </cell>
          <cell r="D1584" t="str">
            <v>pcs</v>
          </cell>
          <cell r="E1584">
            <v>27000</v>
          </cell>
          <cell r="F1584">
            <v>108000</v>
          </cell>
          <cell r="G1584">
            <v>375</v>
          </cell>
          <cell r="Q1584">
            <v>29000</v>
          </cell>
          <cell r="R1584">
            <v>72</v>
          </cell>
          <cell r="S1584" t="str">
            <v>pak</v>
          </cell>
        </row>
        <row r="1585">
          <cell r="A1585" t="str">
            <v>BRIKEK</v>
          </cell>
          <cell r="B1585" t="str">
            <v>Snack BRIKEK</v>
          </cell>
          <cell r="C1585">
            <v>20</v>
          </cell>
          <cell r="D1585" t="str">
            <v>pak</v>
          </cell>
          <cell r="E1585">
            <v>15125</v>
          </cell>
          <cell r="F1585">
            <v>121000</v>
          </cell>
          <cell r="G1585">
            <v>756.25</v>
          </cell>
          <cell r="Q1585">
            <v>17000</v>
          </cell>
          <cell r="R1585">
            <v>20</v>
          </cell>
          <cell r="S1585" t="str">
            <v>pak</v>
          </cell>
        </row>
        <row r="1586">
          <cell r="A1586" t="str">
            <v>SWISS</v>
          </cell>
          <cell r="B1586" t="str">
            <v>Snack BOLU Swiss Roll</v>
          </cell>
          <cell r="C1586">
            <v>20</v>
          </cell>
          <cell r="D1586" t="str">
            <v>pak</v>
          </cell>
          <cell r="E1586">
            <v>14212.5</v>
          </cell>
          <cell r="F1586">
            <v>227400</v>
          </cell>
          <cell r="G1586">
            <v>710.625</v>
          </cell>
          <cell r="H1586">
            <v>1000</v>
          </cell>
          <cell r="I1586" t="str">
            <v>pc</v>
          </cell>
          <cell r="J1586">
            <v>1000</v>
          </cell>
          <cell r="K1586" t="str">
            <v>pc</v>
          </cell>
          <cell r="L1586">
            <v>1000</v>
          </cell>
          <cell r="M1586" t="str">
            <v>pc</v>
          </cell>
          <cell r="Q1586">
            <v>16500</v>
          </cell>
          <cell r="R1586">
            <v>20</v>
          </cell>
          <cell r="S1586" t="str">
            <v>pak</v>
          </cell>
        </row>
        <row r="1587">
          <cell r="A1587" t="str">
            <v>CANNON</v>
          </cell>
          <cell r="B1587" t="str">
            <v>Snack CANNON BALL</v>
          </cell>
          <cell r="C1587">
            <v>24</v>
          </cell>
          <cell r="D1587" t="str">
            <v>pak</v>
          </cell>
          <cell r="E1587">
            <v>10000</v>
          </cell>
          <cell r="F1587">
            <v>60000</v>
          </cell>
          <cell r="G1587">
            <v>416.66666666666669</v>
          </cell>
          <cell r="Q1587">
            <v>11000</v>
          </cell>
          <cell r="R1587">
            <v>24</v>
          </cell>
          <cell r="S1587" t="str">
            <v>pak</v>
          </cell>
          <cell r="AA1587">
            <v>60000</v>
          </cell>
          <cell r="AB1587" t="str">
            <v>dos</v>
          </cell>
        </row>
        <row r="1588">
          <cell r="A1588" t="str">
            <v>CELINA</v>
          </cell>
          <cell r="B1588" t="str">
            <v>Snack CELINA XXX LONG</v>
          </cell>
          <cell r="C1588">
            <v>6</v>
          </cell>
          <cell r="D1588" t="str">
            <v>pcs</v>
          </cell>
          <cell r="E1588">
            <v>105000</v>
          </cell>
          <cell r="F1588">
            <v>210000</v>
          </cell>
          <cell r="G1588">
            <v>17500</v>
          </cell>
          <cell r="H1588">
            <v>21000</v>
          </cell>
          <cell r="I1588" t="str">
            <v>tolp</v>
          </cell>
          <cell r="J1588">
            <v>21000</v>
          </cell>
          <cell r="K1588" t="str">
            <v>tolp</v>
          </cell>
          <cell r="L1588">
            <v>21000</v>
          </cell>
          <cell r="M1588" t="str">
            <v>tolp</v>
          </cell>
          <cell r="AA1588">
            <v>109000</v>
          </cell>
          <cell r="AB1588" t="str">
            <v>dos</v>
          </cell>
        </row>
        <row r="1589">
          <cell r="A1589" t="str">
            <v>CHACA</v>
          </cell>
          <cell r="B1589" t="str">
            <v>Snack Chaca-caca 7 gr</v>
          </cell>
          <cell r="C1589">
            <v>10</v>
          </cell>
          <cell r="D1589" t="str">
            <v>pak</v>
          </cell>
          <cell r="E1589">
            <v>7700</v>
          </cell>
          <cell r="F1589">
            <v>23100</v>
          </cell>
          <cell r="G1589">
            <v>770</v>
          </cell>
          <cell r="H1589">
            <v>1000</v>
          </cell>
          <cell r="I1589" t="str">
            <v>pc</v>
          </cell>
          <cell r="N1589">
            <v>9000</v>
          </cell>
          <cell r="P1589" t="str">
            <v>rtg</v>
          </cell>
        </row>
        <row r="1590">
          <cell r="A1590" t="str">
            <v>CHEWEEZ</v>
          </cell>
          <cell r="B1590" t="str">
            <v>Snack CHWEEZ toples</v>
          </cell>
          <cell r="C1590">
            <v>80</v>
          </cell>
          <cell r="D1590" t="str">
            <v>tpl</v>
          </cell>
          <cell r="E1590">
            <v>19492</v>
          </cell>
          <cell r="F1590">
            <v>58476</v>
          </cell>
          <cell r="G1590">
            <v>770</v>
          </cell>
          <cell r="H1590">
            <v>1000</v>
          </cell>
          <cell r="I1590" t="str">
            <v>pc</v>
          </cell>
          <cell r="Q1590">
            <v>22000</v>
          </cell>
          <cell r="S1590" t="str">
            <v>tpl</v>
          </cell>
        </row>
        <row r="1591">
          <cell r="A1591" t="str">
            <v>cheetosk</v>
          </cell>
          <cell r="B1591" t="str">
            <v>Snack Chetos 10 gr</v>
          </cell>
          <cell r="C1591">
            <v>10</v>
          </cell>
          <cell r="D1591" t="str">
            <v>rtg</v>
          </cell>
          <cell r="E1591">
            <v>8433.3333333333339</v>
          </cell>
          <cell r="F1591">
            <v>50600</v>
          </cell>
          <cell r="G1591">
            <v>843.33333333333337</v>
          </cell>
          <cell r="N1591">
            <v>9000</v>
          </cell>
          <cell r="P1591" t="str">
            <v>rtg</v>
          </cell>
        </row>
        <row r="1592">
          <cell r="A1592" t="str">
            <v>cheetos30</v>
          </cell>
          <cell r="B1592" t="str">
            <v>Snack Chetos Besar 30 gr</v>
          </cell>
          <cell r="C1592">
            <v>30</v>
          </cell>
          <cell r="D1592" t="str">
            <v>dos</v>
          </cell>
          <cell r="E1592">
            <v>66500.005000000005</v>
          </cell>
          <cell r="F1592">
            <v>26600.002000000004</v>
          </cell>
          <cell r="G1592">
            <v>2216.6668333333337</v>
          </cell>
          <cell r="H1592">
            <v>4000</v>
          </cell>
          <cell r="I1592" t="str">
            <v>pc</v>
          </cell>
          <cell r="J1592">
            <v>4000</v>
          </cell>
          <cell r="K1592" t="str">
            <v>pc</v>
          </cell>
          <cell r="L1592">
            <v>3000</v>
          </cell>
          <cell r="M1592" t="str">
            <v>pc</v>
          </cell>
          <cell r="T1592">
            <v>31000</v>
          </cell>
          <cell r="U1592">
            <v>12</v>
          </cell>
          <cell r="V1592" t="str">
            <v>lsn</v>
          </cell>
          <cell r="W1592">
            <v>2600</v>
          </cell>
          <cell r="X1592" t="str">
            <v>pc</v>
          </cell>
          <cell r="Y1592">
            <v>2700</v>
          </cell>
          <cell r="Z1592" t="str">
            <v>pc</v>
          </cell>
        </row>
        <row r="1593">
          <cell r="A1593" t="str">
            <v>cheetos75</v>
          </cell>
          <cell r="B1593" t="str">
            <v>Snack Chetos Besar 75 gr</v>
          </cell>
          <cell r="C1593">
            <v>3</v>
          </cell>
          <cell r="D1593" t="str">
            <v>dos</v>
          </cell>
          <cell r="E1593">
            <v>14070.012000000001</v>
          </cell>
          <cell r="F1593">
            <v>56280.047999999995</v>
          </cell>
          <cell r="G1593">
            <v>4690.0039999999999</v>
          </cell>
          <cell r="H1593">
            <v>7000</v>
          </cell>
          <cell r="I1593" t="str">
            <v>pc</v>
          </cell>
          <cell r="J1593">
            <v>7000</v>
          </cell>
          <cell r="K1593" t="str">
            <v>pc</v>
          </cell>
          <cell r="L1593">
            <v>7000</v>
          </cell>
          <cell r="M1593" t="str">
            <v>pc</v>
          </cell>
        </row>
        <row r="1594">
          <cell r="A1594" t="str">
            <v>STICUM</v>
          </cell>
          <cell r="B1594" t="str">
            <v>Snack STICU mini isi 3</v>
          </cell>
          <cell r="C1594">
            <v>3</v>
          </cell>
          <cell r="D1594" t="str">
            <v>pak</v>
          </cell>
          <cell r="E1594">
            <v>5400</v>
          </cell>
          <cell r="F1594">
            <v>54000</v>
          </cell>
          <cell r="G1594">
            <v>1800</v>
          </cell>
          <cell r="Q1594">
            <v>6500</v>
          </cell>
          <cell r="S1594" t="str">
            <v>pak</v>
          </cell>
          <cell r="AA1594">
            <v>56000</v>
          </cell>
          <cell r="AB1594" t="str">
            <v>dos</v>
          </cell>
        </row>
        <row r="1595">
          <cell r="A1595" t="str">
            <v>STICUR</v>
          </cell>
          <cell r="B1595" t="str">
            <v>Snack STICU RENTENG</v>
          </cell>
          <cell r="C1595">
            <v>10</v>
          </cell>
          <cell r="D1595" t="str">
            <v>pak</v>
          </cell>
          <cell r="E1595">
            <v>4166.666666666667</v>
          </cell>
          <cell r="F1595">
            <v>50000</v>
          </cell>
          <cell r="G1595">
            <v>416.66666666666669</v>
          </cell>
          <cell r="Q1595">
            <v>5000</v>
          </cell>
          <cell r="S1595" t="str">
            <v>pak</v>
          </cell>
        </row>
        <row r="1596">
          <cell r="A1596" t="str">
            <v>STICU45</v>
          </cell>
          <cell r="B1596" t="str">
            <v>Snack STICU 45 gr</v>
          </cell>
          <cell r="C1596">
            <v>30</v>
          </cell>
          <cell r="D1596" t="str">
            <v>pcs</v>
          </cell>
          <cell r="E1596">
            <v>54000</v>
          </cell>
          <cell r="F1596">
            <v>21600</v>
          </cell>
          <cell r="G1596">
            <v>1800</v>
          </cell>
          <cell r="H1596">
            <v>2500</v>
          </cell>
          <cell r="I1596" t="str">
            <v>pc</v>
          </cell>
          <cell r="J1596">
            <v>2500</v>
          </cell>
          <cell r="K1596" t="str">
            <v>pc</v>
          </cell>
          <cell r="L1596">
            <v>2200</v>
          </cell>
          <cell r="M1596" t="str">
            <v>pc</v>
          </cell>
          <cell r="T1596">
            <v>23500</v>
          </cell>
          <cell r="U1596">
            <v>12</v>
          </cell>
          <cell r="V1596" t="str">
            <v>lsn</v>
          </cell>
        </row>
        <row r="1597">
          <cell r="A1597" t="str">
            <v>CHITATO15</v>
          </cell>
          <cell r="B1597" t="str">
            <v>Snack Chitato 15 gr</v>
          </cell>
          <cell r="C1597">
            <v>60</v>
          </cell>
          <cell r="D1597" t="str">
            <v>pcs</v>
          </cell>
          <cell r="E1597">
            <v>105300</v>
          </cell>
          <cell r="F1597">
            <v>21060</v>
          </cell>
          <cell r="G1597">
            <v>1755</v>
          </cell>
          <cell r="H1597">
            <v>2500</v>
          </cell>
          <cell r="I1597" t="str">
            <v>pc</v>
          </cell>
          <cell r="J1597">
            <v>2500</v>
          </cell>
          <cell r="K1597" t="str">
            <v>pc</v>
          </cell>
          <cell r="L1597">
            <v>2000</v>
          </cell>
          <cell r="M1597" t="str">
            <v>pc</v>
          </cell>
          <cell r="T1597">
            <v>58000</v>
          </cell>
          <cell r="U1597">
            <v>12</v>
          </cell>
          <cell r="V1597" t="str">
            <v>lsn</v>
          </cell>
          <cell r="W1597">
            <v>4800</v>
          </cell>
          <cell r="X1597" t="str">
            <v>pc</v>
          </cell>
          <cell r="Y1597">
            <v>4833.333333333333</v>
          </cell>
          <cell r="Z1597" t="str">
            <v>pc</v>
          </cell>
        </row>
        <row r="1598">
          <cell r="A1598" t="str">
            <v>CHITATO35</v>
          </cell>
          <cell r="B1598" t="str">
            <v>Snack Chitato 35 gr</v>
          </cell>
          <cell r="C1598">
            <v>40</v>
          </cell>
          <cell r="D1598" t="str">
            <v>dos</v>
          </cell>
          <cell r="E1598">
            <v>190900.16</v>
          </cell>
          <cell r="F1598">
            <v>4772.5039999999999</v>
          </cell>
          <cell r="G1598">
            <v>4772.5039999999999</v>
          </cell>
          <cell r="H1598">
            <v>6000</v>
          </cell>
          <cell r="I1598" t="str">
            <v>pc</v>
          </cell>
          <cell r="J1598">
            <v>5500</v>
          </cell>
          <cell r="K1598" t="str">
            <v>pc</v>
          </cell>
          <cell r="L1598">
            <v>5000</v>
          </cell>
          <cell r="M1598" t="str">
            <v>pc</v>
          </cell>
          <cell r="T1598">
            <v>58000</v>
          </cell>
          <cell r="U1598">
            <v>12</v>
          </cell>
          <cell r="V1598" t="str">
            <v>lsn</v>
          </cell>
          <cell r="W1598">
            <v>4800</v>
          </cell>
          <cell r="X1598" t="str">
            <v>pc</v>
          </cell>
          <cell r="Y1598">
            <v>4833.333333333333</v>
          </cell>
          <cell r="Z1598" t="str">
            <v>pc</v>
          </cell>
        </row>
        <row r="1599">
          <cell r="A1599" t="str">
            <v>CHITATO55</v>
          </cell>
          <cell r="B1599" t="str">
            <v>Snack Chitato 55 gr</v>
          </cell>
          <cell r="C1599">
            <v>3</v>
          </cell>
          <cell r="D1599" t="str">
            <v>pcs</v>
          </cell>
          <cell r="E1599">
            <v>19179.995999999999</v>
          </cell>
          <cell r="F1599">
            <v>4772.5039999999999</v>
          </cell>
          <cell r="G1599">
            <v>6393.3319999999994</v>
          </cell>
          <cell r="H1599">
            <v>7500</v>
          </cell>
          <cell r="I1599" t="str">
            <v>pc</v>
          </cell>
          <cell r="J1599">
            <v>5500</v>
          </cell>
          <cell r="K1599" t="str">
            <v>pc</v>
          </cell>
          <cell r="L1599">
            <v>5000</v>
          </cell>
          <cell r="M1599" t="str">
            <v>pc</v>
          </cell>
          <cell r="T1599">
            <v>58000</v>
          </cell>
          <cell r="U1599">
            <v>12</v>
          </cell>
          <cell r="V1599" t="str">
            <v>lsn</v>
          </cell>
          <cell r="W1599">
            <v>4800</v>
          </cell>
          <cell r="X1599" t="str">
            <v>pc</v>
          </cell>
          <cell r="Y1599">
            <v>4833.333333333333</v>
          </cell>
          <cell r="Z1599" t="str">
            <v>pc</v>
          </cell>
        </row>
        <row r="1600">
          <cell r="A1600" t="str">
            <v>CHITATO68</v>
          </cell>
          <cell r="B1600" t="str">
            <v>Snack Chitato 68 gr</v>
          </cell>
          <cell r="C1600">
            <v>30</v>
          </cell>
          <cell r="D1600" t="str">
            <v>pcs</v>
          </cell>
          <cell r="E1600">
            <v>245499.87000000002</v>
          </cell>
          <cell r="F1600">
            <v>8183.3290000000006</v>
          </cell>
          <cell r="G1600">
            <v>8183.3290000000006</v>
          </cell>
          <cell r="H1600">
            <v>10000</v>
          </cell>
          <cell r="I1600" t="str">
            <v>pc</v>
          </cell>
          <cell r="J1600">
            <v>10000</v>
          </cell>
          <cell r="K1600" t="str">
            <v>pc</v>
          </cell>
          <cell r="L1600">
            <v>8700</v>
          </cell>
          <cell r="M1600" t="str">
            <v>pc</v>
          </cell>
          <cell r="T1600">
            <v>102000</v>
          </cell>
          <cell r="U1600">
            <v>12</v>
          </cell>
          <cell r="V1600" t="str">
            <v>lsn</v>
          </cell>
          <cell r="W1600">
            <v>8400</v>
          </cell>
          <cell r="X1600" t="str">
            <v>pc</v>
          </cell>
          <cell r="Y1600">
            <v>8500</v>
          </cell>
          <cell r="Z1600" t="str">
            <v>pc</v>
          </cell>
        </row>
        <row r="1601">
          <cell r="A1601" t="str">
            <v>CHITATO80</v>
          </cell>
          <cell r="B1601" t="str">
            <v>Snack Chitato 80 gr</v>
          </cell>
          <cell r="C1601">
            <v>1</v>
          </cell>
          <cell r="D1601" t="str">
            <v>pcs</v>
          </cell>
          <cell r="E1601">
            <v>14491.664000000001</v>
          </cell>
          <cell r="G1601">
            <v>14491.664000000001</v>
          </cell>
          <cell r="H1601">
            <v>17000</v>
          </cell>
          <cell r="I1601" t="str">
            <v>pc</v>
          </cell>
          <cell r="J1601">
            <v>17000</v>
          </cell>
          <cell r="K1601" t="str">
            <v>pc</v>
          </cell>
          <cell r="L1601">
            <v>17000</v>
          </cell>
          <cell r="M1601" t="str">
            <v>pc</v>
          </cell>
          <cell r="T1601">
            <v>102000</v>
          </cell>
          <cell r="U1601">
            <v>12</v>
          </cell>
          <cell r="V1601" t="str">
            <v>lsn</v>
          </cell>
          <cell r="W1601">
            <v>8400</v>
          </cell>
          <cell r="X1601" t="str">
            <v>pc</v>
          </cell>
          <cell r="Y1601">
            <v>8500</v>
          </cell>
          <cell r="Z1601" t="str">
            <v>pc</v>
          </cell>
        </row>
        <row r="1602">
          <cell r="A1602" t="str">
            <v>CHOCOBIS</v>
          </cell>
          <cell r="B1602" t="str">
            <v>Snack CHOCO BIS</v>
          </cell>
          <cell r="C1602">
            <v>20</v>
          </cell>
          <cell r="D1602" t="str">
            <v>pak</v>
          </cell>
          <cell r="E1602">
            <v>8250</v>
          </cell>
          <cell r="F1602">
            <v>49500</v>
          </cell>
          <cell r="G1602">
            <v>412.5</v>
          </cell>
          <cell r="H1602">
            <v>1000</v>
          </cell>
          <cell r="I1602" t="str">
            <v>pc</v>
          </cell>
          <cell r="J1602">
            <v>1000</v>
          </cell>
          <cell r="K1602" t="str">
            <v>pc</v>
          </cell>
          <cell r="L1602">
            <v>1000</v>
          </cell>
          <cell r="M1602" t="str">
            <v>pc</v>
          </cell>
          <cell r="Q1602">
            <v>9500</v>
          </cell>
          <cell r="R1602">
            <v>20</v>
          </cell>
          <cell r="S1602" t="str">
            <v>pak</v>
          </cell>
          <cell r="AA1602">
            <v>52000</v>
          </cell>
          <cell r="AB1602" t="str">
            <v>dos</v>
          </cell>
        </row>
        <row r="1603">
          <cell r="A1603" t="str">
            <v>BAR</v>
          </cell>
          <cell r="B1603" t="str">
            <v>Snack CHOKLAT BAR</v>
          </cell>
          <cell r="C1603">
            <v>20</v>
          </cell>
          <cell r="D1603" t="str">
            <v>rtg</v>
          </cell>
          <cell r="E1603">
            <v>7500</v>
          </cell>
          <cell r="F1603">
            <v>90000</v>
          </cell>
          <cell r="G1603">
            <v>375</v>
          </cell>
          <cell r="N1603">
            <v>8500</v>
          </cell>
          <cell r="P1603" t="str">
            <v>rtg</v>
          </cell>
          <cell r="AA1603">
            <v>93500</v>
          </cell>
          <cell r="AB1603" t="str">
            <v>dos</v>
          </cell>
        </row>
        <row r="1604">
          <cell r="A1604" t="str">
            <v>GROLL75</v>
          </cell>
          <cell r="B1604" t="str">
            <v>Snack CHOCO Roll 75 GR</v>
          </cell>
          <cell r="C1604">
            <v>24</v>
          </cell>
          <cell r="D1604" t="str">
            <v>pak</v>
          </cell>
          <cell r="E1604">
            <v>96000.3</v>
          </cell>
          <cell r="F1604">
            <v>48000.15</v>
          </cell>
          <cell r="G1604">
            <v>4000.0125000000003</v>
          </cell>
          <cell r="H1604">
            <v>4500</v>
          </cell>
          <cell r="I1604" t="str">
            <v>pc</v>
          </cell>
          <cell r="J1604">
            <v>4500</v>
          </cell>
          <cell r="K1604" t="str">
            <v>pc</v>
          </cell>
          <cell r="L1604">
            <v>4500</v>
          </cell>
          <cell r="M1604" t="str">
            <v>pc</v>
          </cell>
          <cell r="T1604">
            <v>50000</v>
          </cell>
          <cell r="U1604">
            <v>12</v>
          </cell>
          <cell r="V1604" t="str">
            <v>lsn</v>
          </cell>
          <cell r="W1604">
            <v>4200</v>
          </cell>
          <cell r="X1604" t="str">
            <v>pc</v>
          </cell>
          <cell r="Y1604">
            <v>4300</v>
          </cell>
          <cell r="Z1604" t="str">
            <v>pc</v>
          </cell>
          <cell r="AA1604">
            <v>98000</v>
          </cell>
          <cell r="AB1604" t="str">
            <v>dos</v>
          </cell>
        </row>
        <row r="1605">
          <cell r="A1605" t="str">
            <v>CHOKI</v>
          </cell>
          <cell r="B1605" t="str">
            <v>Snack Choki-Choki</v>
          </cell>
          <cell r="C1605">
            <v>20</v>
          </cell>
          <cell r="D1605" t="str">
            <v>pak</v>
          </cell>
          <cell r="E1605">
            <v>16199.944444444445</v>
          </cell>
          <cell r="F1605">
            <v>145799.5</v>
          </cell>
          <cell r="G1605">
            <v>809.99722222222226</v>
          </cell>
          <cell r="Q1605">
            <v>18500</v>
          </cell>
          <cell r="S1605" t="str">
            <v>pak</v>
          </cell>
          <cell r="AA1605">
            <v>158000</v>
          </cell>
          <cell r="AB1605" t="str">
            <v>dos</v>
          </cell>
        </row>
        <row r="1606">
          <cell r="A1606" t="str">
            <v>CIGARO</v>
          </cell>
          <cell r="B1606" t="str">
            <v>Snack CIGARO GELAS</v>
          </cell>
          <cell r="C1606">
            <v>24</v>
          </cell>
          <cell r="D1606" t="str">
            <v>pak</v>
          </cell>
          <cell r="E1606">
            <v>10285.714285714286</v>
          </cell>
          <cell r="F1606">
            <v>72000</v>
          </cell>
          <cell r="G1606">
            <v>428.57142857142861</v>
          </cell>
          <cell r="Q1606">
            <v>11000</v>
          </cell>
          <cell r="S1606" t="str">
            <v>pak</v>
          </cell>
        </row>
        <row r="1607">
          <cell r="A1607" t="str">
            <v>RAINBOWT</v>
          </cell>
          <cell r="B1607" t="str">
            <v>Snack ASTOR RAINBOW JUMBO TOPLES</v>
          </cell>
          <cell r="C1607">
            <v>6</v>
          </cell>
          <cell r="D1607" t="str">
            <v>pcs</v>
          </cell>
          <cell r="E1607">
            <v>121000</v>
          </cell>
          <cell r="G1607">
            <v>20166.666666666668</v>
          </cell>
          <cell r="Q1607">
            <v>24000</v>
          </cell>
          <cell r="S1607" t="str">
            <v>tpls</v>
          </cell>
        </row>
        <row r="1608">
          <cell r="A1608" t="str">
            <v>RAINBOWP</v>
          </cell>
          <cell r="B1608" t="str">
            <v>Snack COCO MESES RAINBOW ISI 30</v>
          </cell>
          <cell r="C1608">
            <v>30</v>
          </cell>
          <cell r="D1608" t="str">
            <v>pcs</v>
          </cell>
          <cell r="E1608">
            <v>12200</v>
          </cell>
          <cell r="F1608">
            <v>122000</v>
          </cell>
          <cell r="G1608">
            <v>406.66666666666669</v>
          </cell>
          <cell r="Q1608">
            <v>13500</v>
          </cell>
          <cell r="S1608" t="str">
            <v>pak</v>
          </cell>
        </row>
        <row r="1609">
          <cell r="A1609" t="str">
            <v>ICHIBALL</v>
          </cell>
          <cell r="B1609" t="str">
            <v>Snack COKLAT ICHI</v>
          </cell>
          <cell r="C1609">
            <v>20</v>
          </cell>
          <cell r="D1609" t="str">
            <v>pak</v>
          </cell>
          <cell r="E1609">
            <v>15166.666666666666</v>
          </cell>
          <cell r="F1609">
            <v>91000</v>
          </cell>
          <cell r="G1609">
            <v>758.33333333333326</v>
          </cell>
          <cell r="Q1609">
            <v>16500</v>
          </cell>
          <cell r="S1609" t="str">
            <v>pak</v>
          </cell>
          <cell r="AA1609">
            <v>94000</v>
          </cell>
          <cell r="AB1609" t="str">
            <v>dos</v>
          </cell>
        </row>
        <row r="1610">
          <cell r="A1610" t="str">
            <v>CONEDUO</v>
          </cell>
          <cell r="B1610" t="str">
            <v>Snack CONE DUO</v>
          </cell>
          <cell r="C1610">
            <v>20</v>
          </cell>
          <cell r="D1610" t="str">
            <v>pcs</v>
          </cell>
          <cell r="E1610">
            <v>8250</v>
          </cell>
          <cell r="F1610">
            <v>49500</v>
          </cell>
          <cell r="G1610">
            <v>412.5</v>
          </cell>
          <cell r="Q1610">
            <v>9500</v>
          </cell>
          <cell r="S1610" t="str">
            <v>Pak</v>
          </cell>
          <cell r="AA1610">
            <v>52000</v>
          </cell>
          <cell r="AB1610" t="str">
            <v>dos</v>
          </cell>
        </row>
        <row r="1611">
          <cell r="A1611" t="str">
            <v>CONEKU</v>
          </cell>
          <cell r="B1611" t="str">
            <v>Snack CONE KU</v>
          </cell>
          <cell r="C1611">
            <v>20</v>
          </cell>
          <cell r="D1611" t="str">
            <v>pcs</v>
          </cell>
          <cell r="E1611">
            <v>8250</v>
          </cell>
          <cell r="F1611">
            <v>49500</v>
          </cell>
          <cell r="G1611">
            <v>412.5</v>
          </cell>
          <cell r="Q1611">
            <v>9500</v>
          </cell>
          <cell r="S1611" t="str">
            <v>Pak</v>
          </cell>
          <cell r="AA1611">
            <v>52000</v>
          </cell>
          <cell r="AB1611" t="str">
            <v>dos</v>
          </cell>
        </row>
        <row r="1612">
          <cell r="A1612" t="str">
            <v>CONESNACK</v>
          </cell>
          <cell r="B1612" t="str">
            <v>Snack CONE SNACK</v>
          </cell>
          <cell r="C1612">
            <v>10</v>
          </cell>
          <cell r="D1612" t="str">
            <v>rtg</v>
          </cell>
          <cell r="E1612">
            <v>4125.163333333333</v>
          </cell>
          <cell r="F1612">
            <v>49501.96</v>
          </cell>
          <cell r="G1612">
            <v>412.51633333333331</v>
          </cell>
          <cell r="N1612">
            <v>6000</v>
          </cell>
          <cell r="O1612">
            <v>10</v>
          </cell>
          <cell r="P1612" t="str">
            <v>rtg</v>
          </cell>
          <cell r="AA1612">
            <v>52500</v>
          </cell>
          <cell r="AB1612" t="str">
            <v>dos</v>
          </cell>
        </row>
        <row r="1613">
          <cell r="A1613" t="str">
            <v>CONEMAX</v>
          </cell>
          <cell r="B1613" t="str">
            <v>Snack CONEMAX</v>
          </cell>
          <cell r="C1613">
            <v>20</v>
          </cell>
          <cell r="D1613" t="str">
            <v>pcs</v>
          </cell>
          <cell r="E1613">
            <v>8250.3249999999989</v>
          </cell>
          <cell r="F1613">
            <v>49501.95</v>
          </cell>
          <cell r="G1613">
            <v>412.51624999999996</v>
          </cell>
          <cell r="Q1613">
            <v>9500</v>
          </cell>
          <cell r="S1613" t="str">
            <v>Pak</v>
          </cell>
          <cell r="AA1613">
            <v>52000</v>
          </cell>
          <cell r="AB1613" t="str">
            <v>dos</v>
          </cell>
        </row>
        <row r="1614">
          <cell r="A1614" t="str">
            <v>COSUKE</v>
          </cell>
          <cell r="B1614" t="str">
            <v>Snack COSUKE Soto Ayam</v>
          </cell>
          <cell r="C1614">
            <v>20</v>
          </cell>
          <cell r="D1614" t="str">
            <v>pak</v>
          </cell>
          <cell r="E1614">
            <v>8000</v>
          </cell>
          <cell r="F1614">
            <v>40000</v>
          </cell>
          <cell r="G1614">
            <v>400</v>
          </cell>
          <cell r="Q1614">
            <v>9000</v>
          </cell>
          <cell r="S1614" t="str">
            <v>pak</v>
          </cell>
          <cell r="AA1614">
            <v>43000</v>
          </cell>
          <cell r="AB1614" t="str">
            <v>dos</v>
          </cell>
        </row>
        <row r="1615">
          <cell r="A1615" t="str">
            <v>CREPES</v>
          </cell>
          <cell r="B1615" t="str">
            <v>Snack Deka Crepes</v>
          </cell>
          <cell r="C1615">
            <v>12</v>
          </cell>
          <cell r="D1615" t="str">
            <v>pak</v>
          </cell>
          <cell r="E1615">
            <v>10000</v>
          </cell>
          <cell r="F1615">
            <v>59400</v>
          </cell>
          <cell r="G1615">
            <v>833.33333333333337</v>
          </cell>
          <cell r="Q1615">
            <v>11000</v>
          </cell>
          <cell r="S1615" t="str">
            <v>pak</v>
          </cell>
          <cell r="AA1615">
            <v>62500</v>
          </cell>
          <cell r="AB1615" t="str">
            <v>dos</v>
          </cell>
        </row>
        <row r="1616">
          <cell r="A1616" t="str">
            <v>DORI</v>
          </cell>
          <cell r="B1616" t="str">
            <v>Snack DORI MI GORENG SPECIAL</v>
          </cell>
          <cell r="C1616">
            <v>20</v>
          </cell>
          <cell r="D1616" t="str">
            <v>pak</v>
          </cell>
          <cell r="E1616">
            <v>8250</v>
          </cell>
          <cell r="F1616">
            <v>49500</v>
          </cell>
          <cell r="G1616">
            <v>412.5</v>
          </cell>
          <cell r="Q1616">
            <v>9500</v>
          </cell>
          <cell r="S1616" t="str">
            <v>pak</v>
          </cell>
          <cell r="AA1616">
            <v>52000</v>
          </cell>
          <cell r="AB1616" t="str">
            <v>dos</v>
          </cell>
        </row>
        <row r="1617">
          <cell r="A1617" t="str">
            <v>EMPING</v>
          </cell>
          <cell r="B1617" t="str">
            <v>Snack Emping Pedas</v>
          </cell>
          <cell r="C1617">
            <v>20</v>
          </cell>
          <cell r="D1617" t="str">
            <v>pak</v>
          </cell>
          <cell r="E1617">
            <v>8100</v>
          </cell>
          <cell r="F1617">
            <v>40500</v>
          </cell>
          <cell r="G1617">
            <v>405</v>
          </cell>
          <cell r="Q1617">
            <v>9500</v>
          </cell>
          <cell r="S1617" t="str">
            <v>pak</v>
          </cell>
          <cell r="AA1617">
            <v>43500</v>
          </cell>
          <cell r="AB1617" t="str">
            <v>dos</v>
          </cell>
        </row>
        <row r="1618">
          <cell r="A1618" t="str">
            <v>ESCADO</v>
          </cell>
          <cell r="B1618" t="str">
            <v>Snack ESCADO</v>
          </cell>
          <cell r="C1618">
            <v>24</v>
          </cell>
          <cell r="D1618" t="str">
            <v>pak</v>
          </cell>
          <cell r="E1618">
            <v>10166.666666666666</v>
          </cell>
          <cell r="F1618">
            <v>61000</v>
          </cell>
          <cell r="G1618">
            <v>423.61111111111109</v>
          </cell>
          <cell r="Q1618">
            <v>11000</v>
          </cell>
          <cell r="S1618" t="str">
            <v>pak</v>
          </cell>
          <cell r="AA1618">
            <v>64000</v>
          </cell>
          <cell r="AB1618" t="str">
            <v>dos</v>
          </cell>
        </row>
        <row r="1619">
          <cell r="A1619" t="str">
            <v>SOCCER</v>
          </cell>
          <cell r="B1619" t="str">
            <v>Snack FIFA SOCCER</v>
          </cell>
          <cell r="C1619">
            <v>150</v>
          </cell>
          <cell r="D1619" t="str">
            <v>pak</v>
          </cell>
          <cell r="E1619">
            <v>27000</v>
          </cell>
          <cell r="F1619">
            <v>324000</v>
          </cell>
          <cell r="G1619">
            <v>180</v>
          </cell>
          <cell r="Q1619">
            <v>28500</v>
          </cell>
          <cell r="S1619" t="str">
            <v>pak</v>
          </cell>
          <cell r="AA1619">
            <v>327000</v>
          </cell>
          <cell r="AB1619" t="str">
            <v>dos</v>
          </cell>
        </row>
        <row r="1620">
          <cell r="A1620" t="str">
            <v>FOLLOW225</v>
          </cell>
          <cell r="B1620" t="str">
            <v>Snack FOLLOW 225 gr</v>
          </cell>
          <cell r="C1620">
            <v>8</v>
          </cell>
          <cell r="D1620" t="str">
            <v>pcs</v>
          </cell>
          <cell r="E1620">
            <v>49000</v>
          </cell>
          <cell r="G1620">
            <v>6125</v>
          </cell>
          <cell r="H1620">
            <v>8000</v>
          </cell>
          <cell r="I1620" t="str">
            <v>pcs</v>
          </cell>
          <cell r="J1620">
            <v>8000</v>
          </cell>
          <cell r="K1620" t="str">
            <v>pcs</v>
          </cell>
          <cell r="L1620">
            <v>8000</v>
          </cell>
          <cell r="M1620" t="str">
            <v>pcs</v>
          </cell>
          <cell r="AA1620">
            <v>60000</v>
          </cell>
          <cell r="AB1620" t="str">
            <v>dos</v>
          </cell>
        </row>
        <row r="1621">
          <cell r="A1621" t="str">
            <v>FOLLOW500</v>
          </cell>
          <cell r="B1621" t="str">
            <v>Snack FOLLOW 500 gr</v>
          </cell>
          <cell r="C1621">
            <v>4</v>
          </cell>
          <cell r="D1621" t="str">
            <v>pcs</v>
          </cell>
          <cell r="E1621">
            <v>56000</v>
          </cell>
          <cell r="F1621">
            <v>609840</v>
          </cell>
          <cell r="G1621">
            <v>14000</v>
          </cell>
          <cell r="H1621">
            <v>18000</v>
          </cell>
          <cell r="I1621" t="str">
            <v>pc</v>
          </cell>
          <cell r="J1621">
            <v>18000</v>
          </cell>
          <cell r="K1621" t="str">
            <v>pc</v>
          </cell>
          <cell r="L1621">
            <v>17500</v>
          </cell>
          <cell r="M1621" t="str">
            <v>pc</v>
          </cell>
          <cell r="AA1621">
            <v>59000</v>
          </cell>
          <cell r="AB1621" t="str">
            <v>dos</v>
          </cell>
        </row>
        <row r="1622">
          <cell r="A1622" t="str">
            <v>FOLLOW1000</v>
          </cell>
          <cell r="B1622" t="str">
            <v>Snack FOLLOW 1000 gr</v>
          </cell>
          <cell r="C1622">
            <v>2</v>
          </cell>
          <cell r="D1622" t="str">
            <v>pcs</v>
          </cell>
          <cell r="E1622">
            <v>56000</v>
          </cell>
          <cell r="F1622">
            <v>609840</v>
          </cell>
          <cell r="G1622">
            <v>28000</v>
          </cell>
        </row>
        <row r="1623">
          <cell r="A1623" t="str">
            <v>FOLLOW1</v>
          </cell>
          <cell r="B1623" t="str">
            <v>Snack FOLLOW RENTENG</v>
          </cell>
          <cell r="C1623">
            <v>10</v>
          </cell>
          <cell r="D1623" t="str">
            <v>pcs</v>
          </cell>
          <cell r="E1623">
            <v>8166.666666666667</v>
          </cell>
          <cell r="F1623">
            <v>49000</v>
          </cell>
          <cell r="G1623">
            <v>816.66666666666674</v>
          </cell>
          <cell r="H1623">
            <v>1000</v>
          </cell>
          <cell r="I1623" t="str">
            <v>PC</v>
          </cell>
          <cell r="J1623">
            <v>1000</v>
          </cell>
          <cell r="K1623" t="str">
            <v>PC</v>
          </cell>
          <cell r="L1623">
            <v>1000</v>
          </cell>
          <cell r="M1623" t="str">
            <v>PC</v>
          </cell>
          <cell r="N1623">
            <v>9000</v>
          </cell>
          <cell r="O1623">
            <v>10</v>
          </cell>
          <cell r="P1623" t="str">
            <v>rtg</v>
          </cell>
        </row>
        <row r="1624">
          <cell r="A1624" t="str">
            <v>FONUT</v>
          </cell>
          <cell r="B1624" t="str">
            <v>Snack Fonut</v>
          </cell>
          <cell r="C1624">
            <v>24</v>
          </cell>
          <cell r="D1624" t="str">
            <v>pak</v>
          </cell>
          <cell r="E1624">
            <v>18480</v>
          </cell>
          <cell r="F1624">
            <v>554400</v>
          </cell>
          <cell r="G1624">
            <v>770</v>
          </cell>
          <cell r="Q1624">
            <v>21500</v>
          </cell>
          <cell r="S1624" t="str">
            <v>pak</v>
          </cell>
        </row>
        <row r="1625">
          <cell r="A1625" t="str">
            <v>FOOTBAL</v>
          </cell>
          <cell r="B1625" t="str">
            <v>Snack Foot Ball</v>
          </cell>
          <cell r="C1625">
            <v>100</v>
          </cell>
          <cell r="D1625" t="str">
            <v>pak</v>
          </cell>
          <cell r="E1625">
            <v>14500</v>
          </cell>
          <cell r="F1625">
            <v>435000</v>
          </cell>
          <cell r="G1625">
            <v>145</v>
          </cell>
        </row>
        <row r="1626">
          <cell r="A1626" t="str">
            <v>FUGU</v>
          </cell>
          <cell r="B1626" t="str">
            <v>Snack FUGU</v>
          </cell>
          <cell r="C1626">
            <v>10</v>
          </cell>
          <cell r="D1626" t="str">
            <v>rtg</v>
          </cell>
          <cell r="E1626">
            <v>8250</v>
          </cell>
          <cell r="F1626">
            <v>49500</v>
          </cell>
          <cell r="G1626">
            <v>825</v>
          </cell>
        </row>
        <row r="1627">
          <cell r="A1627" t="str">
            <v>FULLOK</v>
          </cell>
          <cell r="B1627" t="str">
            <v>Snack Fullo</v>
          </cell>
          <cell r="C1627">
            <v>24</v>
          </cell>
          <cell r="D1627" t="str">
            <v>pak</v>
          </cell>
          <cell r="E1627">
            <v>9600</v>
          </cell>
          <cell r="F1627">
            <v>57600</v>
          </cell>
          <cell r="G1627">
            <v>400</v>
          </cell>
          <cell r="Q1627">
            <v>11000</v>
          </cell>
          <cell r="S1627" t="str">
            <v>pak</v>
          </cell>
        </row>
        <row r="1628">
          <cell r="A1628" t="str">
            <v>FULLO14</v>
          </cell>
          <cell r="B1628" t="str">
            <v>Snack Fullo Unicorn 14 gr</v>
          </cell>
          <cell r="C1628">
            <v>20</v>
          </cell>
          <cell r="D1628" t="str">
            <v>pak</v>
          </cell>
          <cell r="E1628">
            <v>15200</v>
          </cell>
          <cell r="F1628">
            <v>91200</v>
          </cell>
          <cell r="G1628">
            <v>760</v>
          </cell>
          <cell r="Q1628">
            <v>17500</v>
          </cell>
          <cell r="S1628" t="str">
            <v>pak</v>
          </cell>
        </row>
        <row r="1629">
          <cell r="A1629" t="str">
            <v>FULLOB</v>
          </cell>
          <cell r="B1629" t="str">
            <v>Snack Fullo 112 GR</v>
          </cell>
          <cell r="C1629">
            <v>24</v>
          </cell>
          <cell r="D1629" t="str">
            <v>pcs</v>
          </cell>
          <cell r="E1629">
            <v>140400</v>
          </cell>
          <cell r="F1629">
            <v>70200</v>
          </cell>
          <cell r="G1629">
            <v>5850</v>
          </cell>
        </row>
        <row r="1630">
          <cell r="A1630" t="str">
            <v>FULLO36</v>
          </cell>
          <cell r="B1630" t="str">
            <v>Snack Fullo 36 GR</v>
          </cell>
          <cell r="C1630">
            <v>24</v>
          </cell>
          <cell r="D1630" t="str">
            <v>pcs</v>
          </cell>
          <cell r="E1630">
            <v>38400</v>
          </cell>
          <cell r="F1630">
            <v>19200</v>
          </cell>
          <cell r="G1630">
            <v>1600</v>
          </cell>
          <cell r="H1630">
            <v>3000</v>
          </cell>
          <cell r="I1630" t="str">
            <v>pc</v>
          </cell>
          <cell r="J1630">
            <v>3000</v>
          </cell>
          <cell r="L1630">
            <v>2200</v>
          </cell>
          <cell r="M1630" t="str">
            <v>pc</v>
          </cell>
          <cell r="T1630">
            <v>22000</v>
          </cell>
          <cell r="U1630">
            <v>12</v>
          </cell>
          <cell r="V1630" t="str">
            <v>lsn</v>
          </cell>
          <cell r="Y1630">
            <v>1900</v>
          </cell>
          <cell r="Z1630" t="str">
            <v>pc</v>
          </cell>
        </row>
        <row r="1631">
          <cell r="A1631" t="str">
            <v>BITZ</v>
          </cell>
          <cell r="B1631" t="str">
            <v>Snack Fullo Bitz 80 gr</v>
          </cell>
          <cell r="C1631">
            <v>24</v>
          </cell>
          <cell r="D1631" t="str">
            <v>pcs</v>
          </cell>
          <cell r="E1631">
            <v>72000</v>
          </cell>
          <cell r="F1631">
            <v>36000</v>
          </cell>
          <cell r="G1631">
            <v>3000</v>
          </cell>
        </row>
        <row r="1632">
          <cell r="A1632" t="str">
            <v>FUNGKY</v>
          </cell>
          <cell r="B1632" t="str">
            <v>Snack Fungky Biskuit</v>
          </cell>
          <cell r="C1632">
            <v>20</v>
          </cell>
          <cell r="D1632" t="str">
            <v>pak</v>
          </cell>
          <cell r="E1632">
            <v>8000</v>
          </cell>
          <cell r="F1632">
            <v>40000</v>
          </cell>
          <cell r="G1632">
            <v>400</v>
          </cell>
        </row>
        <row r="1633">
          <cell r="A1633" t="str">
            <v>GBERRY</v>
          </cell>
          <cell r="B1633" t="str">
            <v>Snack Gerry Berry good Jam</v>
          </cell>
          <cell r="C1633">
            <v>12</v>
          </cell>
          <cell r="D1633" t="str">
            <v>pcs</v>
          </cell>
          <cell r="E1633">
            <v>5362.5</v>
          </cell>
          <cell r="F1633">
            <v>64350</v>
          </cell>
          <cell r="G1633">
            <v>446.875</v>
          </cell>
          <cell r="N1633">
            <v>6000</v>
          </cell>
          <cell r="P1633" t="str">
            <v>rtg</v>
          </cell>
          <cell r="AA1633">
            <v>66500</v>
          </cell>
          <cell r="AB1633" t="str">
            <v>dos</v>
          </cell>
        </row>
        <row r="1634">
          <cell r="A1634" t="str">
            <v>GMESES14</v>
          </cell>
          <cell r="B1634" t="str">
            <v>Snack Gerry Meses Ceres 14 gr</v>
          </cell>
          <cell r="C1634">
            <v>10</v>
          </cell>
          <cell r="D1634" t="str">
            <v>rtg</v>
          </cell>
          <cell r="E1634">
            <v>7700</v>
          </cell>
          <cell r="F1634">
            <v>92400</v>
          </cell>
          <cell r="G1634">
            <v>770</v>
          </cell>
          <cell r="N1634">
            <v>8500</v>
          </cell>
          <cell r="P1634" t="str">
            <v>rtg</v>
          </cell>
          <cell r="AA1634">
            <v>96000</v>
          </cell>
          <cell r="AB1634" t="str">
            <v>dos</v>
          </cell>
        </row>
        <row r="1635">
          <cell r="A1635" t="str">
            <v>GMESES7</v>
          </cell>
          <cell r="B1635" t="str">
            <v>Snack Gerry Meses Ceres 7 gr</v>
          </cell>
          <cell r="C1635">
            <v>10</v>
          </cell>
          <cell r="D1635" t="str">
            <v>rtg</v>
          </cell>
          <cell r="E1635">
            <v>4008.3083333333329</v>
          </cell>
          <cell r="F1635">
            <v>48099.7</v>
          </cell>
          <cell r="G1635">
            <v>400.83083333333332</v>
          </cell>
          <cell r="N1635">
            <v>4500</v>
          </cell>
          <cell r="P1635" t="str">
            <v>rtg</v>
          </cell>
          <cell r="AA1635">
            <v>51000</v>
          </cell>
          <cell r="AB1635" t="str">
            <v>dos</v>
          </cell>
        </row>
        <row r="1636">
          <cell r="A1636" t="str">
            <v>BISMART</v>
          </cell>
          <cell r="B1636" t="str">
            <v>Snack Gery Bismart 10 gr</v>
          </cell>
          <cell r="C1636">
            <v>24</v>
          </cell>
          <cell r="D1636" t="str">
            <v>pak</v>
          </cell>
          <cell r="E1636">
            <v>9800.0833333333339</v>
          </cell>
          <cell r="F1636">
            <v>58800.5</v>
          </cell>
          <cell r="G1636">
            <v>408.3368055555556</v>
          </cell>
          <cell r="Q1636">
            <v>11000</v>
          </cell>
          <cell r="S1636" t="str">
            <v>pak</v>
          </cell>
          <cell r="AA1636">
            <v>61000</v>
          </cell>
          <cell r="AB1636" t="str">
            <v>dos</v>
          </cell>
        </row>
        <row r="1637">
          <cell r="A1637" t="str">
            <v>GBROWNB</v>
          </cell>
          <cell r="B1637" t="str">
            <v>Snack Gery BROWN COOKIES 72 G</v>
          </cell>
          <cell r="C1637">
            <v>24</v>
          </cell>
          <cell r="D1637" t="str">
            <v>pcs</v>
          </cell>
          <cell r="E1637">
            <v>124800.5</v>
          </cell>
          <cell r="F1637">
            <v>62400.25</v>
          </cell>
          <cell r="G1637">
            <v>5200.020833333333</v>
          </cell>
          <cell r="H1637">
            <v>6500</v>
          </cell>
          <cell r="I1637" t="str">
            <v>pc</v>
          </cell>
          <cell r="J1637">
            <v>6300</v>
          </cell>
          <cell r="K1637" t="str">
            <v>pc</v>
          </cell>
          <cell r="L1637">
            <v>5800</v>
          </cell>
          <cell r="M1637" t="str">
            <v>pc</v>
          </cell>
          <cell r="T1637">
            <v>64500</v>
          </cell>
          <cell r="U1637">
            <v>12</v>
          </cell>
          <cell r="V1637" t="str">
            <v>lsn</v>
          </cell>
          <cell r="W1637">
            <v>5400</v>
          </cell>
          <cell r="X1637" t="str">
            <v>pc</v>
          </cell>
          <cell r="Y1637">
            <v>5600</v>
          </cell>
          <cell r="Z1637" t="str">
            <v>pc</v>
          </cell>
          <cell r="AA1637">
            <v>127500</v>
          </cell>
          <cell r="AB1637" t="str">
            <v>dos</v>
          </cell>
        </row>
        <row r="1638">
          <cell r="A1638" t="str">
            <v>DARKP</v>
          </cell>
          <cell r="B1638" t="str">
            <v>Snack Gery Chokolatos DARK</v>
          </cell>
          <cell r="C1638">
            <v>20</v>
          </cell>
          <cell r="D1638" t="str">
            <v>pak</v>
          </cell>
          <cell r="E1638">
            <v>14986.5</v>
          </cell>
          <cell r="F1638">
            <v>89919</v>
          </cell>
          <cell r="G1638">
            <v>749.32500000000005</v>
          </cell>
          <cell r="Q1638">
            <v>17500</v>
          </cell>
          <cell r="R1638">
            <v>20</v>
          </cell>
          <cell r="S1638" t="str">
            <v>pak</v>
          </cell>
          <cell r="AA1638">
            <v>99500</v>
          </cell>
          <cell r="AB1638" t="str">
            <v>dos</v>
          </cell>
        </row>
        <row r="1639">
          <cell r="A1639" t="str">
            <v>DARKF</v>
          </cell>
          <cell r="B1639" t="str">
            <v>Snack Gery Chokolatos DARK FAMILY</v>
          </cell>
          <cell r="C1639">
            <v>60</v>
          </cell>
          <cell r="D1639" t="str">
            <v>pcs</v>
          </cell>
          <cell r="E1639">
            <v>97799.9</v>
          </cell>
          <cell r="F1639">
            <v>19559.98</v>
          </cell>
          <cell r="G1639">
            <v>1629.9983333333332</v>
          </cell>
          <cell r="H1639">
            <v>2500</v>
          </cell>
          <cell r="I1639" t="str">
            <v>pc</v>
          </cell>
          <cell r="J1639">
            <v>2500</v>
          </cell>
          <cell r="K1639" t="str">
            <v>pc</v>
          </cell>
          <cell r="L1639">
            <v>2000</v>
          </cell>
          <cell r="M1639" t="str">
            <v>pc</v>
          </cell>
          <cell r="T1639">
            <v>22000</v>
          </cell>
          <cell r="U1639">
            <v>12</v>
          </cell>
          <cell r="V1639" t="str">
            <v>j</v>
          </cell>
          <cell r="W1639">
            <v>1800</v>
          </cell>
          <cell r="X1639" t="str">
            <v>pc</v>
          </cell>
          <cell r="Y1639">
            <v>1833.3333333333333</v>
          </cell>
          <cell r="Z1639" t="str">
            <v>pc</v>
          </cell>
          <cell r="AA1639">
            <v>96000</v>
          </cell>
          <cell r="AB1639" t="str">
            <v>dos</v>
          </cell>
        </row>
        <row r="1640">
          <cell r="A1640" t="str">
            <v>APETIT</v>
          </cell>
          <cell r="B1640" t="str">
            <v>Snack Gery Salut Bon Apetit</v>
          </cell>
          <cell r="C1640">
            <v>20</v>
          </cell>
          <cell r="D1640" t="str">
            <v>pak</v>
          </cell>
          <cell r="E1640">
            <v>15800.033333333333</v>
          </cell>
          <cell r="F1640">
            <v>94800.2</v>
          </cell>
          <cell r="G1640">
            <v>790.00166666666667</v>
          </cell>
          <cell r="Q1640">
            <v>17500</v>
          </cell>
          <cell r="R1640">
            <v>20</v>
          </cell>
          <cell r="S1640" t="str">
            <v>pak</v>
          </cell>
          <cell r="AA1640">
            <v>98000</v>
          </cell>
          <cell r="AB1640" t="str">
            <v>dos</v>
          </cell>
        </row>
        <row r="1641">
          <cell r="A1641" t="str">
            <v>GRANDE</v>
          </cell>
          <cell r="B1641" t="str">
            <v>Snack Gery Chokolatos GRANDE</v>
          </cell>
          <cell r="C1641">
            <v>20</v>
          </cell>
          <cell r="D1641" t="str">
            <v>pak</v>
          </cell>
          <cell r="E1641">
            <v>15400</v>
          </cell>
          <cell r="F1641">
            <v>92400</v>
          </cell>
          <cell r="G1641">
            <v>770</v>
          </cell>
          <cell r="Q1641">
            <v>17500</v>
          </cell>
          <cell r="R1641">
            <v>20</v>
          </cell>
          <cell r="S1641" t="str">
            <v>pak</v>
          </cell>
          <cell r="AA1641">
            <v>96000</v>
          </cell>
          <cell r="AB1641" t="str">
            <v>dos</v>
          </cell>
        </row>
        <row r="1642">
          <cell r="A1642" t="str">
            <v>CHOCOLATOS16</v>
          </cell>
          <cell r="B1642" t="str">
            <v>Snack Gery Chokolatos ISI 16</v>
          </cell>
          <cell r="C1642">
            <v>16</v>
          </cell>
          <cell r="D1642" t="str">
            <v>pak</v>
          </cell>
          <cell r="E1642">
            <v>13716.633333333333</v>
          </cell>
          <cell r="F1642">
            <v>82299.8</v>
          </cell>
          <cell r="G1642">
            <v>857.28958333333333</v>
          </cell>
          <cell r="Q1642">
            <v>14500</v>
          </cell>
          <cell r="R1642">
            <v>16</v>
          </cell>
          <cell r="S1642" t="str">
            <v>pak</v>
          </cell>
          <cell r="AA1642">
            <v>85500</v>
          </cell>
          <cell r="AB1642" t="str">
            <v>dos</v>
          </cell>
        </row>
        <row r="1643">
          <cell r="A1643" t="str">
            <v>CHOCOLATOS24</v>
          </cell>
          <cell r="B1643" t="str">
            <v>Snack Gery Chokolatos ISI 24</v>
          </cell>
          <cell r="C1643">
            <v>24</v>
          </cell>
          <cell r="D1643" t="str">
            <v>pak</v>
          </cell>
          <cell r="E1643">
            <v>9950</v>
          </cell>
          <cell r="F1643">
            <v>59700</v>
          </cell>
          <cell r="G1643">
            <v>414.58333333333331</v>
          </cell>
          <cell r="H1643">
            <v>1000</v>
          </cell>
          <cell r="I1643" t="str">
            <v>pc</v>
          </cell>
          <cell r="J1643">
            <v>1000</v>
          </cell>
          <cell r="K1643" t="str">
            <v>pc</v>
          </cell>
          <cell r="L1643">
            <v>1000</v>
          </cell>
          <cell r="M1643" t="str">
            <v>pc</v>
          </cell>
          <cell r="Q1643">
            <v>11000</v>
          </cell>
          <cell r="R1643">
            <v>24</v>
          </cell>
          <cell r="S1643" t="str">
            <v>pak</v>
          </cell>
          <cell r="AA1643">
            <v>62000</v>
          </cell>
          <cell r="AB1643" t="str">
            <v>dos</v>
          </cell>
        </row>
        <row r="1644">
          <cell r="A1644" t="str">
            <v>CHOCOLATOS20</v>
          </cell>
          <cell r="B1644" t="str">
            <v>Snack Gery Chokolatos MINI 20 GR</v>
          </cell>
          <cell r="C1644">
            <v>20</v>
          </cell>
          <cell r="D1644" t="str">
            <v>pak</v>
          </cell>
          <cell r="E1644">
            <v>16300.075000000001</v>
          </cell>
          <cell r="F1644">
            <v>65200.3</v>
          </cell>
          <cell r="G1644">
            <v>815.00375000000008</v>
          </cell>
          <cell r="Q1644">
            <v>17500</v>
          </cell>
          <cell r="R1644">
            <v>20</v>
          </cell>
          <cell r="S1644" t="str">
            <v>pak</v>
          </cell>
          <cell r="AA1644">
            <v>68000</v>
          </cell>
          <cell r="AB1644" t="str">
            <v>dos</v>
          </cell>
        </row>
        <row r="1645">
          <cell r="A1645" t="str">
            <v>GMALKISR</v>
          </cell>
          <cell r="B1645" t="str">
            <v>Snack Gery Malkis COKLAT Kecil</v>
          </cell>
          <cell r="C1645">
            <v>20</v>
          </cell>
          <cell r="D1645" t="str">
            <v>pak</v>
          </cell>
          <cell r="E1645">
            <v>8366.6</v>
          </cell>
          <cell r="F1645">
            <v>50199.6</v>
          </cell>
          <cell r="G1645">
            <v>418.33000000000004</v>
          </cell>
          <cell r="Q1645">
            <v>9500</v>
          </cell>
          <cell r="S1645" t="str">
            <v>pak</v>
          </cell>
          <cell r="AA1645">
            <v>53500</v>
          </cell>
          <cell r="AB1645" t="str">
            <v>dos</v>
          </cell>
        </row>
        <row r="1646">
          <cell r="A1646" t="str">
            <v>GMALKISFK</v>
          </cell>
          <cell r="B1646" t="str">
            <v>Snack Gery Malkis Kelapa Family</v>
          </cell>
          <cell r="C1646">
            <v>20</v>
          </cell>
          <cell r="D1646" t="str">
            <v>pcs</v>
          </cell>
          <cell r="E1646">
            <v>110000</v>
          </cell>
          <cell r="F1646">
            <v>66000</v>
          </cell>
          <cell r="G1646">
            <v>5500</v>
          </cell>
          <cell r="H1646">
            <v>6500</v>
          </cell>
          <cell r="I1646" t="str">
            <v>pc</v>
          </cell>
          <cell r="J1646">
            <v>6200</v>
          </cell>
          <cell r="K1646" t="str">
            <v>pc</v>
          </cell>
          <cell r="L1646">
            <v>5800</v>
          </cell>
          <cell r="M1646" t="str">
            <v>pc</v>
          </cell>
          <cell r="T1646">
            <v>68000</v>
          </cell>
          <cell r="U1646">
            <v>12</v>
          </cell>
          <cell r="V1646" t="str">
            <v>lsn</v>
          </cell>
          <cell r="W1646">
            <v>5650</v>
          </cell>
          <cell r="X1646" t="str">
            <v>pc</v>
          </cell>
          <cell r="Y1646">
            <v>5666.666666666667</v>
          </cell>
          <cell r="Z1646" t="str">
            <v>pc</v>
          </cell>
          <cell r="AA1646">
            <v>115000</v>
          </cell>
          <cell r="AB1646" t="str">
            <v>dos</v>
          </cell>
        </row>
        <row r="1647">
          <cell r="A1647" t="str">
            <v>GMALKISFC</v>
          </cell>
          <cell r="B1647" t="str">
            <v>Snack Gery Malkis Coklat/ Keju Family</v>
          </cell>
          <cell r="C1647">
            <v>20</v>
          </cell>
          <cell r="D1647" t="str">
            <v>pcs</v>
          </cell>
          <cell r="E1647">
            <v>101339.7</v>
          </cell>
          <cell r="F1647">
            <v>60803.819999999992</v>
          </cell>
          <cell r="G1647">
            <v>5066.9849999999997</v>
          </cell>
          <cell r="H1647">
            <v>6000</v>
          </cell>
          <cell r="I1647" t="str">
            <v>pc</v>
          </cell>
          <cell r="J1647">
            <v>5800</v>
          </cell>
          <cell r="K1647" t="str">
            <v>pc</v>
          </cell>
          <cell r="L1647">
            <v>5400</v>
          </cell>
          <cell r="M1647" t="str">
            <v>pc</v>
          </cell>
          <cell r="T1647">
            <v>63000</v>
          </cell>
          <cell r="U1647">
            <v>12</v>
          </cell>
          <cell r="V1647" t="str">
            <v>lsn</v>
          </cell>
          <cell r="W1647">
            <v>5200</v>
          </cell>
          <cell r="X1647" t="str">
            <v>pc</v>
          </cell>
          <cell r="Y1647">
            <v>5250</v>
          </cell>
          <cell r="Z1647" t="str">
            <v>pc</v>
          </cell>
          <cell r="AA1647">
            <v>104500</v>
          </cell>
          <cell r="AB1647" t="str">
            <v>dos</v>
          </cell>
        </row>
        <row r="1648">
          <cell r="A1648" t="str">
            <v>GMALKIS36</v>
          </cell>
          <cell r="B1648" t="str">
            <v>Snack Gery Malkis Kelapa</v>
          </cell>
          <cell r="C1648">
            <v>12</v>
          </cell>
          <cell r="D1648" t="str">
            <v>pcs</v>
          </cell>
          <cell r="E1648">
            <v>19439.933333333334</v>
          </cell>
          <cell r="F1648">
            <v>116639.6</v>
          </cell>
          <cell r="G1648">
            <v>1619.9944444444445</v>
          </cell>
          <cell r="H1648">
            <v>2000</v>
          </cell>
          <cell r="I1648" t="str">
            <v>pc</v>
          </cell>
          <cell r="K1648" t="str">
            <v>pc</v>
          </cell>
          <cell r="M1648" t="str">
            <v>pc</v>
          </cell>
          <cell r="Q1648">
            <v>21000</v>
          </cell>
          <cell r="S1648" t="str">
            <v>pak</v>
          </cell>
          <cell r="AB1648" t="str">
            <v>dos</v>
          </cell>
        </row>
        <row r="1649">
          <cell r="A1649" t="str">
            <v>GMALKISK</v>
          </cell>
          <cell r="B1649" t="str">
            <v>Snack Gery Malkis KEJU Kecil</v>
          </cell>
          <cell r="C1649">
            <v>20</v>
          </cell>
          <cell r="D1649" t="str">
            <v>pak</v>
          </cell>
          <cell r="E1649">
            <v>16166.699999999999</v>
          </cell>
          <cell r="F1649">
            <v>97000.2</v>
          </cell>
          <cell r="G1649">
            <v>808.33499999999992</v>
          </cell>
          <cell r="N1649">
            <v>9000</v>
          </cell>
          <cell r="P1649" t="str">
            <v>rtg</v>
          </cell>
          <cell r="Q1649">
            <v>18000</v>
          </cell>
          <cell r="R1649">
            <v>20</v>
          </cell>
          <cell r="S1649" t="str">
            <v>pak</v>
          </cell>
          <cell r="AA1649">
            <v>100000</v>
          </cell>
          <cell r="AB1649" t="str">
            <v>dos</v>
          </cell>
        </row>
        <row r="1650">
          <cell r="A1650" t="str">
            <v>CHOPSTICK</v>
          </cell>
          <cell r="B1650" t="str">
            <v>Snack Gery Mini Chop Stick Renteng</v>
          </cell>
          <cell r="C1650">
            <v>10</v>
          </cell>
          <cell r="D1650" t="str">
            <v>rtg</v>
          </cell>
          <cell r="E1650">
            <v>4050.0166666666664</v>
          </cell>
          <cell r="F1650">
            <v>24300.1</v>
          </cell>
          <cell r="G1650">
            <v>405.00166666666667</v>
          </cell>
          <cell r="N1650">
            <v>4500</v>
          </cell>
          <cell r="O1650">
            <v>10</v>
          </cell>
          <cell r="P1650" t="str">
            <v>rtg</v>
          </cell>
          <cell r="AA1650">
            <v>26500</v>
          </cell>
          <cell r="AB1650" t="str">
            <v>dos</v>
          </cell>
        </row>
        <row r="1651">
          <cell r="A1651" t="str">
            <v>GODONUTB</v>
          </cell>
          <cell r="B1651" t="str">
            <v>Snack Gery O Donut 96 gr</v>
          </cell>
          <cell r="C1651">
            <v>24</v>
          </cell>
          <cell r="D1651" t="str">
            <v>pcs</v>
          </cell>
          <cell r="E1651">
            <v>137759.6</v>
          </cell>
          <cell r="F1651">
            <v>68879.8</v>
          </cell>
          <cell r="G1651">
            <v>5739.9833333333336</v>
          </cell>
        </row>
        <row r="1652">
          <cell r="A1652" t="str">
            <v>GODONUT24</v>
          </cell>
          <cell r="B1652" t="str">
            <v>Snack Gery O Donut ISI 24</v>
          </cell>
          <cell r="C1652">
            <v>24</v>
          </cell>
          <cell r="D1652" t="str">
            <v>pak</v>
          </cell>
          <cell r="E1652">
            <v>9983.4166666666661</v>
          </cell>
          <cell r="F1652">
            <v>59900.5</v>
          </cell>
          <cell r="G1652">
            <v>415.9756944444444</v>
          </cell>
          <cell r="Q1652">
            <v>11000</v>
          </cell>
          <cell r="R1652">
            <v>24</v>
          </cell>
          <cell r="S1652" t="str">
            <v>pak</v>
          </cell>
          <cell r="AA1652">
            <v>63000</v>
          </cell>
          <cell r="AB1652" t="str">
            <v>dos</v>
          </cell>
        </row>
        <row r="1653">
          <cell r="A1653" t="str">
            <v>GODONUT20</v>
          </cell>
          <cell r="B1653" t="str">
            <v>Snack Gery O Donut ISI 20</v>
          </cell>
          <cell r="C1653">
            <v>20</v>
          </cell>
          <cell r="D1653" t="str">
            <v>pak</v>
          </cell>
          <cell r="E1653">
            <v>15785.366666666667</v>
          </cell>
          <cell r="F1653">
            <v>94712.2</v>
          </cell>
          <cell r="G1653">
            <v>789.26833333333332</v>
          </cell>
          <cell r="H1653">
            <v>1000</v>
          </cell>
          <cell r="I1653" t="str">
            <v>pc</v>
          </cell>
          <cell r="J1653">
            <v>1000</v>
          </cell>
          <cell r="K1653" t="str">
            <v>pc</v>
          </cell>
          <cell r="Q1653">
            <v>17500</v>
          </cell>
          <cell r="R1653">
            <v>20</v>
          </cell>
          <cell r="S1653" t="str">
            <v>pak</v>
          </cell>
          <cell r="AA1653">
            <v>97500</v>
          </cell>
          <cell r="AB1653" t="str">
            <v>dos</v>
          </cell>
        </row>
        <row r="1654">
          <cell r="A1654" t="str">
            <v>GPASTAK</v>
          </cell>
          <cell r="B1654" t="str">
            <v>Snack Gery Pasta Kotak</v>
          </cell>
          <cell r="C1654">
            <v>20</v>
          </cell>
          <cell r="D1654" t="str">
            <v>pcs</v>
          </cell>
          <cell r="E1654">
            <v>15400</v>
          </cell>
          <cell r="F1654">
            <v>92400</v>
          </cell>
          <cell r="G1654">
            <v>770</v>
          </cell>
          <cell r="Q1654">
            <v>16500</v>
          </cell>
          <cell r="R1654">
            <v>20</v>
          </cell>
          <cell r="S1654" t="str">
            <v>pak</v>
          </cell>
        </row>
        <row r="1655">
          <cell r="A1655" t="str">
            <v>GPASTAR</v>
          </cell>
          <cell r="B1655" t="str">
            <v>Snack Gery PASTA RENTENG</v>
          </cell>
          <cell r="C1655">
            <v>12</v>
          </cell>
          <cell r="D1655" t="str">
            <v>rtg</v>
          </cell>
          <cell r="E1655">
            <v>4866.6750000000002</v>
          </cell>
          <cell r="F1655">
            <v>58400.1</v>
          </cell>
          <cell r="G1655">
            <v>405.55625000000003</v>
          </cell>
          <cell r="N1655">
            <v>5500</v>
          </cell>
          <cell r="P1655" t="str">
            <v>rtg</v>
          </cell>
          <cell r="AA1655">
            <v>62500</v>
          </cell>
          <cell r="AB1655" t="str">
            <v>dos</v>
          </cell>
        </row>
        <row r="1656">
          <cell r="A1656" t="str">
            <v>GSALUTH</v>
          </cell>
          <cell r="B1656" t="str">
            <v>Snack Gery Salut Choco Huzelnut</v>
          </cell>
          <cell r="C1656">
            <v>24</v>
          </cell>
          <cell r="D1656" t="str">
            <v>pak</v>
          </cell>
          <cell r="E1656">
            <v>9900</v>
          </cell>
          <cell r="F1656">
            <v>59400</v>
          </cell>
          <cell r="G1656">
            <v>412.5</v>
          </cell>
          <cell r="H1656">
            <v>1000</v>
          </cell>
          <cell r="J1656">
            <v>1000</v>
          </cell>
          <cell r="L1656">
            <v>1000</v>
          </cell>
          <cell r="Q1656">
            <v>11000</v>
          </cell>
          <cell r="R1656">
            <v>24</v>
          </cell>
          <cell r="S1656" t="str">
            <v>pak</v>
          </cell>
          <cell r="AA1656">
            <v>61000</v>
          </cell>
          <cell r="AB1656" t="str">
            <v>dos</v>
          </cell>
        </row>
        <row r="1657">
          <cell r="A1657" t="str">
            <v>GSALUTD</v>
          </cell>
          <cell r="B1657" t="str">
            <v>Snack Gery Salut Choco Huzelnut</v>
          </cell>
          <cell r="C1657">
            <v>12</v>
          </cell>
          <cell r="D1657" t="str">
            <v>pak</v>
          </cell>
          <cell r="E1657">
            <v>10248.039999999999</v>
          </cell>
          <cell r="F1657">
            <v>102480.4</v>
          </cell>
          <cell r="G1657">
            <v>854.00333333333322</v>
          </cell>
          <cell r="Q1657">
            <v>11000</v>
          </cell>
          <cell r="R1657">
            <v>12</v>
          </cell>
          <cell r="S1657" t="str">
            <v>pak</v>
          </cell>
          <cell r="AA1657">
            <v>105000</v>
          </cell>
          <cell r="AB1657" t="str">
            <v>dos</v>
          </cell>
        </row>
        <row r="1658">
          <cell r="A1658" t="str">
            <v>GSALUTR</v>
          </cell>
          <cell r="B1658" t="str">
            <v>Snack Gery Salut Roll</v>
          </cell>
          <cell r="C1658">
            <v>24</v>
          </cell>
          <cell r="D1658" t="str">
            <v>pak</v>
          </cell>
          <cell r="E1658">
            <v>9633.25</v>
          </cell>
          <cell r="F1658">
            <v>57799.5</v>
          </cell>
          <cell r="G1658">
            <v>401.38541666666669</v>
          </cell>
          <cell r="Q1658">
            <v>11000</v>
          </cell>
          <cell r="R1658">
            <v>24</v>
          </cell>
          <cell r="S1658" t="str">
            <v>pak</v>
          </cell>
          <cell r="AA1658">
            <v>60000</v>
          </cell>
          <cell r="AB1658" t="str">
            <v>dos</v>
          </cell>
        </row>
        <row r="1659">
          <cell r="A1659" t="str">
            <v>GSALUT20</v>
          </cell>
          <cell r="B1659" t="str">
            <v xml:space="preserve">Snack Gery Salut Stick/EXTRUD </v>
          </cell>
          <cell r="C1659">
            <v>20</v>
          </cell>
          <cell r="D1659" t="str">
            <v>pak</v>
          </cell>
          <cell r="E1659">
            <v>8366.6</v>
          </cell>
          <cell r="F1659">
            <v>50199.6</v>
          </cell>
          <cell r="G1659">
            <v>418.33000000000004</v>
          </cell>
          <cell r="Q1659">
            <v>9000</v>
          </cell>
          <cell r="R1659">
            <v>20</v>
          </cell>
          <cell r="S1659" t="str">
            <v>pak</v>
          </cell>
          <cell r="AA1659">
            <v>53500</v>
          </cell>
          <cell r="AB1659" t="str">
            <v>dos</v>
          </cell>
        </row>
        <row r="1660">
          <cell r="A1660" t="str">
            <v>GSALUT24</v>
          </cell>
          <cell r="B1660" t="str">
            <v>Snack Gery Salut/Gery Choco Roll</v>
          </cell>
          <cell r="C1660">
            <v>24</v>
          </cell>
          <cell r="D1660" t="str">
            <v>pak</v>
          </cell>
          <cell r="E1660">
            <v>9633.25</v>
          </cell>
          <cell r="F1660">
            <v>57799.5</v>
          </cell>
          <cell r="G1660">
            <v>401.38541666666669</v>
          </cell>
          <cell r="Q1660">
            <v>11000</v>
          </cell>
          <cell r="R1660">
            <v>24</v>
          </cell>
          <cell r="S1660" t="str">
            <v>pak</v>
          </cell>
          <cell r="AA1660">
            <v>61000</v>
          </cell>
          <cell r="AB1660" t="str">
            <v>dos</v>
          </cell>
        </row>
        <row r="1661">
          <cell r="A1661" t="str">
            <v>GSEREALB</v>
          </cell>
          <cell r="B1661" t="str">
            <v>Snack Gery Sereal Besar 100 gr</v>
          </cell>
          <cell r="C1661">
            <v>40</v>
          </cell>
          <cell r="D1661" t="str">
            <v>pcs</v>
          </cell>
          <cell r="E1661">
            <v>240300</v>
          </cell>
          <cell r="F1661">
            <v>72090</v>
          </cell>
          <cell r="G1661">
            <v>6007.5</v>
          </cell>
          <cell r="H1661">
            <v>7000</v>
          </cell>
          <cell r="I1661" t="str">
            <v>pc</v>
          </cell>
          <cell r="J1661">
            <v>7000</v>
          </cell>
          <cell r="K1661" t="str">
            <v>pc</v>
          </cell>
          <cell r="L1661">
            <v>6500</v>
          </cell>
          <cell r="M1661" t="str">
            <v>pc</v>
          </cell>
          <cell r="T1661">
            <v>74000</v>
          </cell>
          <cell r="U1661">
            <v>12</v>
          </cell>
          <cell r="V1661" t="str">
            <v>lsn</v>
          </cell>
          <cell r="W1661">
            <v>6100</v>
          </cell>
          <cell r="X1661" t="str">
            <v>pc</v>
          </cell>
          <cell r="Y1661">
            <v>6200</v>
          </cell>
          <cell r="Z1661" t="str">
            <v>pc</v>
          </cell>
        </row>
        <row r="1662">
          <cell r="A1662" t="str">
            <v>GSEREALT</v>
          </cell>
          <cell r="B1662" t="str">
            <v>Snack Gery Sereal 30 gr</v>
          </cell>
          <cell r="C1662">
            <v>5</v>
          </cell>
          <cell r="D1662" t="str">
            <v>pcs</v>
          </cell>
          <cell r="E1662">
            <v>8374.9874999999993</v>
          </cell>
          <cell r="F1662">
            <v>66999.899999999994</v>
          </cell>
          <cell r="G1662">
            <v>1674.9974999999999</v>
          </cell>
          <cell r="H1662">
            <v>2500</v>
          </cell>
          <cell r="I1662" t="str">
            <v>pc</v>
          </cell>
          <cell r="J1662">
            <v>2500</v>
          </cell>
          <cell r="K1662" t="str">
            <v>pc</v>
          </cell>
          <cell r="Q1662">
            <v>10000</v>
          </cell>
          <cell r="R1662">
            <v>5</v>
          </cell>
          <cell r="S1662" t="str">
            <v>pak</v>
          </cell>
          <cell r="AB1662" t="str">
            <v>dos</v>
          </cell>
        </row>
        <row r="1663">
          <cell r="A1663" t="str">
            <v>GSEREALK</v>
          </cell>
          <cell r="B1663" t="str">
            <v>Snack Gery Sereal Kecil</v>
          </cell>
          <cell r="C1663">
            <v>10</v>
          </cell>
          <cell r="D1663" t="str">
            <v>rtg</v>
          </cell>
          <cell r="E1663">
            <v>7900.0166666666664</v>
          </cell>
          <cell r="F1663">
            <v>47400.1</v>
          </cell>
          <cell r="G1663">
            <v>790.00166666666667</v>
          </cell>
          <cell r="H1663">
            <v>1000</v>
          </cell>
          <cell r="I1663" t="str">
            <v>pc</v>
          </cell>
          <cell r="J1663">
            <v>1000</v>
          </cell>
          <cell r="K1663" t="str">
            <v>pc</v>
          </cell>
          <cell r="L1663">
            <v>1000</v>
          </cell>
          <cell r="M1663" t="str">
            <v>pc</v>
          </cell>
          <cell r="N1663">
            <v>9000</v>
          </cell>
          <cell r="O1663">
            <v>10</v>
          </cell>
          <cell r="P1663" t="str">
            <v>rtg</v>
          </cell>
          <cell r="AA1663">
            <v>51000</v>
          </cell>
          <cell r="AB1663" t="str">
            <v>dos</v>
          </cell>
        </row>
        <row r="1664">
          <cell r="A1664" t="str">
            <v>GWAFER20</v>
          </cell>
          <cell r="B1664" t="str">
            <v>Snack Gery Wafer Cream</v>
          </cell>
          <cell r="C1664">
            <v>20</v>
          </cell>
          <cell r="D1664" t="str">
            <v>pak</v>
          </cell>
          <cell r="E1664">
            <v>8199.9499999999989</v>
          </cell>
          <cell r="F1664">
            <v>49199.7</v>
          </cell>
          <cell r="G1664">
            <v>409.99749999999995</v>
          </cell>
          <cell r="Q1664">
            <v>9000</v>
          </cell>
          <cell r="R1664">
            <v>20</v>
          </cell>
          <cell r="S1664" t="str">
            <v>pak</v>
          </cell>
          <cell r="AA1664">
            <v>52000</v>
          </cell>
          <cell r="AB1664" t="str">
            <v>dos</v>
          </cell>
        </row>
        <row r="1665">
          <cell r="A1665" t="str">
            <v>GWAFER24</v>
          </cell>
          <cell r="B1665" t="str">
            <v>Snack Gery Wafer Stik Coklat Susu</v>
          </cell>
          <cell r="C1665">
            <v>24</v>
          </cell>
          <cell r="D1665" t="str">
            <v>pak</v>
          </cell>
          <cell r="E1665">
            <v>9483.2833333333328</v>
          </cell>
          <cell r="F1665">
            <v>56899.7</v>
          </cell>
          <cell r="G1665">
            <v>395.13680555555555</v>
          </cell>
          <cell r="Q1665">
            <v>11000</v>
          </cell>
          <cell r="R1665">
            <v>24</v>
          </cell>
          <cell r="S1665" t="str">
            <v>pak</v>
          </cell>
          <cell r="AA1665">
            <v>59000</v>
          </cell>
          <cell r="AB1665" t="str">
            <v>dos</v>
          </cell>
        </row>
        <row r="1666">
          <cell r="A1666" t="str">
            <v>GSEREAL25</v>
          </cell>
          <cell r="B1666" t="str">
            <v>Snack Gery SEREAL 25 GR</v>
          </cell>
          <cell r="C1666">
            <v>40</v>
          </cell>
          <cell r="D1666" t="str">
            <v>pcs</v>
          </cell>
          <cell r="E1666">
            <v>67999.8</v>
          </cell>
          <cell r="F1666">
            <v>20399.940000000002</v>
          </cell>
          <cell r="G1666">
            <v>1699.9950000000001</v>
          </cell>
          <cell r="H1666">
            <v>3000</v>
          </cell>
          <cell r="I1666" t="str">
            <v>pc</v>
          </cell>
          <cell r="J1666">
            <v>3000</v>
          </cell>
          <cell r="K1666" t="str">
            <v>pc</v>
          </cell>
          <cell r="L1666">
            <v>2300</v>
          </cell>
          <cell r="M1666" t="str">
            <v>pc</v>
          </cell>
          <cell r="T1666">
            <v>23000</v>
          </cell>
          <cell r="V1666" t="str">
            <v>lsn</v>
          </cell>
          <cell r="W1666">
            <v>1900</v>
          </cell>
          <cell r="X1666" t="str">
            <v>pc\</v>
          </cell>
          <cell r="Y1666">
            <v>2000</v>
          </cell>
          <cell r="Z1666" t="str">
            <v>pc</v>
          </cell>
        </row>
        <row r="1667">
          <cell r="A1667" t="str">
            <v>GOLDTIME</v>
          </cell>
          <cell r="B1667" t="str">
            <v>Snack GOLD TIME</v>
          </cell>
          <cell r="C1667">
            <v>20</v>
          </cell>
          <cell r="D1667" t="str">
            <v>pak</v>
          </cell>
          <cell r="E1667">
            <v>8000</v>
          </cell>
          <cell r="F1667">
            <v>64000</v>
          </cell>
          <cell r="G1667">
            <v>400</v>
          </cell>
          <cell r="Q1667">
            <v>9000</v>
          </cell>
          <cell r="R1667">
            <v>24</v>
          </cell>
          <cell r="S1667" t="str">
            <v>pak</v>
          </cell>
          <cell r="AA1667">
            <v>59000</v>
          </cell>
          <cell r="AB1667" t="str">
            <v>dos</v>
          </cell>
        </row>
        <row r="1668">
          <cell r="A1668" t="str">
            <v>GARLIC208</v>
          </cell>
          <cell r="B1668" t="str">
            <v>Biskuit Garlic Bread Crackers 208 gr</v>
          </cell>
          <cell r="C1668">
            <v>6</v>
          </cell>
          <cell r="D1668" t="str">
            <v>pak</v>
          </cell>
          <cell r="E1668">
            <v>30333.333333333332</v>
          </cell>
          <cell r="F1668">
            <v>60666.666666666672</v>
          </cell>
          <cell r="G1668">
            <v>5055.5555555555557</v>
          </cell>
          <cell r="H1668">
            <v>6500</v>
          </cell>
          <cell r="I1668" t="str">
            <v>pc</v>
          </cell>
          <cell r="J1668">
            <v>6000</v>
          </cell>
          <cell r="K1668" t="str">
            <v>pc</v>
          </cell>
          <cell r="L1668">
            <v>5700</v>
          </cell>
          <cell r="M1668" t="str">
            <v>pc</v>
          </cell>
          <cell r="T1668">
            <v>64000</v>
          </cell>
          <cell r="U1668">
            <v>12</v>
          </cell>
          <cell r="V1668" t="str">
            <v>lsn</v>
          </cell>
          <cell r="W1668">
            <v>5300</v>
          </cell>
          <cell r="X1668" t="str">
            <v>pc</v>
          </cell>
          <cell r="Y1668">
            <v>5400</v>
          </cell>
          <cell r="Z1668" t="str">
            <v>pc</v>
          </cell>
        </row>
        <row r="1669">
          <cell r="A1669" t="str">
            <v>RPASTA</v>
          </cell>
          <cell r="B1669" t="str">
            <v>Snack Richeese Pasta Kotak</v>
          </cell>
          <cell r="C1669">
            <v>30</v>
          </cell>
          <cell r="D1669" t="str">
            <v>pcs</v>
          </cell>
          <cell r="E1669">
            <v>12000</v>
          </cell>
          <cell r="F1669">
            <v>108000</v>
          </cell>
          <cell r="G1669">
            <v>400</v>
          </cell>
          <cell r="Q1669">
            <v>13000</v>
          </cell>
          <cell r="R1669">
            <v>30</v>
          </cell>
          <cell r="S1669" t="str">
            <v>pak</v>
          </cell>
          <cell r="AA1669">
            <v>112000</v>
          </cell>
          <cell r="AB1669" t="str">
            <v>dos</v>
          </cell>
        </row>
        <row r="1670">
          <cell r="A1670" t="str">
            <v>GOPOTATO</v>
          </cell>
          <cell r="B1670" t="str">
            <v>Snack GO POTATO</v>
          </cell>
          <cell r="C1670">
            <v>20</v>
          </cell>
          <cell r="D1670" t="str">
            <v>pcs</v>
          </cell>
          <cell r="E1670">
            <v>8750</v>
          </cell>
          <cell r="F1670">
            <v>70000</v>
          </cell>
          <cell r="G1670">
            <v>437.5</v>
          </cell>
          <cell r="Q1670">
            <v>9500</v>
          </cell>
          <cell r="R1670">
            <v>10</v>
          </cell>
          <cell r="S1670" t="str">
            <v>pak</v>
          </cell>
          <cell r="AA1670">
            <v>73000</v>
          </cell>
          <cell r="AB1670" t="str">
            <v>dos</v>
          </cell>
        </row>
        <row r="1671">
          <cell r="A1671" t="str">
            <v>GORING</v>
          </cell>
          <cell r="B1671" t="str">
            <v>Snack GO RING</v>
          </cell>
          <cell r="C1671">
            <v>20</v>
          </cell>
          <cell r="D1671" t="str">
            <v>pak</v>
          </cell>
          <cell r="E1671">
            <v>8833.3333333333339</v>
          </cell>
          <cell r="F1671">
            <v>53000</v>
          </cell>
          <cell r="G1671">
            <v>441.66666666666669</v>
          </cell>
          <cell r="Q1671">
            <v>9500</v>
          </cell>
          <cell r="R1671">
            <v>20</v>
          </cell>
          <cell r="S1671" t="str">
            <v>pak</v>
          </cell>
          <cell r="AA1671">
            <v>55500</v>
          </cell>
          <cell r="AB1671" t="str">
            <v>dos</v>
          </cell>
        </row>
        <row r="1672">
          <cell r="A1672" t="str">
            <v>GOCENG</v>
          </cell>
          <cell r="B1672" t="str">
            <v>Snack GOCENG</v>
          </cell>
          <cell r="C1672">
            <v>20</v>
          </cell>
          <cell r="D1672" t="str">
            <v>pcs</v>
          </cell>
          <cell r="E1672">
            <v>16750</v>
          </cell>
          <cell r="F1672">
            <v>33500</v>
          </cell>
          <cell r="G1672">
            <v>837.5</v>
          </cell>
          <cell r="Q1672">
            <v>18000</v>
          </cell>
          <cell r="S1672" t="str">
            <v>pak</v>
          </cell>
          <cell r="AA1672">
            <v>36000</v>
          </cell>
          <cell r="AB1672" t="str">
            <v>dos</v>
          </cell>
        </row>
        <row r="1673">
          <cell r="A1673" t="str">
            <v>OLARIS</v>
          </cell>
          <cell r="B1673" t="str">
            <v>Snack OLARIS</v>
          </cell>
          <cell r="C1673">
            <v>10</v>
          </cell>
          <cell r="D1673" t="str">
            <v>pcs</v>
          </cell>
          <cell r="E1673">
            <v>8500</v>
          </cell>
          <cell r="F1673">
            <v>34000</v>
          </cell>
          <cell r="G1673">
            <v>850</v>
          </cell>
          <cell r="Q1673">
            <v>9000</v>
          </cell>
          <cell r="R1673">
            <v>20</v>
          </cell>
          <cell r="S1673" t="str">
            <v>pak</v>
          </cell>
          <cell r="AA1673">
            <v>36000</v>
          </cell>
          <cell r="AB1673" t="str">
            <v>dos</v>
          </cell>
        </row>
        <row r="1674">
          <cell r="A1674" t="str">
            <v>LARITZ</v>
          </cell>
          <cell r="B1674" t="str">
            <v>Snack LARITZ</v>
          </cell>
          <cell r="C1674">
            <v>5</v>
          </cell>
          <cell r="D1674" t="str">
            <v>pcs</v>
          </cell>
          <cell r="E1674">
            <v>8333.3333333333339</v>
          </cell>
          <cell r="F1674">
            <v>100000</v>
          </cell>
          <cell r="G1674">
            <v>1666.6666666666667</v>
          </cell>
          <cell r="H1674">
            <v>2500</v>
          </cell>
          <cell r="I1674" t="str">
            <v>pc</v>
          </cell>
          <cell r="J1674">
            <v>2500</v>
          </cell>
          <cell r="K1674" t="str">
            <v>pc</v>
          </cell>
          <cell r="L1674">
            <v>2000</v>
          </cell>
          <cell r="Q1674">
            <v>9500</v>
          </cell>
          <cell r="R1674">
            <v>20</v>
          </cell>
          <cell r="S1674" t="str">
            <v>pak</v>
          </cell>
          <cell r="AA1674">
            <v>36000</v>
          </cell>
          <cell r="AB1674" t="str">
            <v>dos</v>
          </cell>
        </row>
        <row r="1675">
          <cell r="A1675" t="str">
            <v>GOODTIME</v>
          </cell>
          <cell r="B1675" t="str">
            <v>Snack Good Time</v>
          </cell>
          <cell r="C1675">
            <v>12</v>
          </cell>
          <cell r="D1675" t="str">
            <v>pcs</v>
          </cell>
          <cell r="E1675">
            <v>0</v>
          </cell>
          <cell r="G1675">
            <v>0</v>
          </cell>
          <cell r="H1675">
            <v>1000</v>
          </cell>
          <cell r="I1675" t="str">
            <v>pc</v>
          </cell>
          <cell r="J1675">
            <v>1000</v>
          </cell>
          <cell r="K1675" t="str">
            <v>pc</v>
          </cell>
          <cell r="L1675">
            <v>1000</v>
          </cell>
          <cell r="M1675" t="str">
            <v>pc</v>
          </cell>
          <cell r="Q1675">
            <v>11000</v>
          </cell>
          <cell r="R1675">
            <v>12</v>
          </cell>
          <cell r="S1675" t="str">
            <v>pak</v>
          </cell>
          <cell r="AA1675">
            <v>106000</v>
          </cell>
          <cell r="AB1675" t="str">
            <v>dos</v>
          </cell>
        </row>
        <row r="1676">
          <cell r="A1676" t="str">
            <v>GORIO</v>
          </cell>
          <cell r="B1676" t="str">
            <v>Snack Goriorio</v>
          </cell>
          <cell r="C1676">
            <v>20</v>
          </cell>
          <cell r="D1676" t="str">
            <v>pak</v>
          </cell>
          <cell r="E1676">
            <v>8750</v>
          </cell>
          <cell r="F1676">
            <v>70000</v>
          </cell>
          <cell r="G1676">
            <v>437.5</v>
          </cell>
          <cell r="Q1676">
            <v>9500</v>
          </cell>
          <cell r="R1676">
            <v>20</v>
          </cell>
          <cell r="S1676" t="str">
            <v>pak</v>
          </cell>
          <cell r="AA1676">
            <v>72000</v>
          </cell>
          <cell r="AB1676" t="str">
            <v>dos</v>
          </cell>
        </row>
        <row r="1677">
          <cell r="A1677" t="str">
            <v>PIATOS</v>
          </cell>
          <cell r="B1677" t="str">
            <v>Snack PIATOS</v>
          </cell>
          <cell r="C1677">
            <v>20</v>
          </cell>
          <cell r="D1677" t="str">
            <v>pak</v>
          </cell>
          <cell r="E1677">
            <v>17000</v>
          </cell>
          <cell r="F1677">
            <v>68000</v>
          </cell>
          <cell r="G1677">
            <v>850</v>
          </cell>
          <cell r="Q1677">
            <v>18000</v>
          </cell>
          <cell r="R1677">
            <v>20</v>
          </cell>
          <cell r="S1677" t="str">
            <v>pak</v>
          </cell>
        </row>
        <row r="1678">
          <cell r="A1678" t="str">
            <v>HAIBERRY</v>
          </cell>
          <cell r="B1678" t="str">
            <v>Snack HAI BERRY</v>
          </cell>
          <cell r="C1678">
            <v>20</v>
          </cell>
          <cell r="D1678" t="str">
            <v>pcs</v>
          </cell>
          <cell r="E1678">
            <v>8111.1111111111113</v>
          </cell>
          <cell r="F1678">
            <v>73000</v>
          </cell>
          <cell r="G1678">
            <v>405.55555555555554</v>
          </cell>
          <cell r="Q1678">
            <v>9500</v>
          </cell>
          <cell r="S1678" t="str">
            <v>pak</v>
          </cell>
          <cell r="AA1678">
            <v>76000</v>
          </cell>
          <cell r="AB1678" t="str">
            <v>dos</v>
          </cell>
        </row>
        <row r="1679">
          <cell r="A1679" t="str">
            <v>CRACKERS</v>
          </cell>
          <cell r="B1679" t="str">
            <v>Snack HAI CRACKERS</v>
          </cell>
          <cell r="C1679">
            <v>20</v>
          </cell>
          <cell r="D1679" t="str">
            <v>pak</v>
          </cell>
          <cell r="E1679">
            <v>8222.2222222222226</v>
          </cell>
          <cell r="F1679">
            <v>74000</v>
          </cell>
          <cell r="G1679">
            <v>411.11111111111114</v>
          </cell>
          <cell r="Q1679">
            <v>9000</v>
          </cell>
          <cell r="S1679" t="str">
            <v>pak</v>
          </cell>
        </row>
        <row r="1680">
          <cell r="A1680" t="str">
            <v>MAITOSB</v>
          </cell>
          <cell r="B1680" t="str">
            <v>Snack Hostest Maitos BESAR</v>
          </cell>
          <cell r="C1680">
            <v>20</v>
          </cell>
          <cell r="D1680" t="str">
            <v>pcs</v>
          </cell>
          <cell r="E1680">
            <v>62000</v>
          </cell>
          <cell r="F1680">
            <v>37200</v>
          </cell>
          <cell r="G1680">
            <v>3100</v>
          </cell>
          <cell r="H1680">
            <v>4500</v>
          </cell>
          <cell r="I1680" t="str">
            <v>pc</v>
          </cell>
          <cell r="J1680">
            <v>4500</v>
          </cell>
          <cell r="K1680" t="str">
            <v>pc</v>
          </cell>
          <cell r="L1680">
            <v>4500</v>
          </cell>
          <cell r="M1680" t="str">
            <v>pc</v>
          </cell>
          <cell r="T1680">
            <v>40000</v>
          </cell>
          <cell r="U1680">
            <v>12</v>
          </cell>
          <cell r="V1680" t="str">
            <v>lsn</v>
          </cell>
          <cell r="W1680">
            <v>3400</v>
          </cell>
          <cell r="X1680" t="str">
            <v>pc</v>
          </cell>
          <cell r="Y1680">
            <v>3500</v>
          </cell>
          <cell r="Z1680" t="str">
            <v>pc</v>
          </cell>
          <cell r="AA1680">
            <v>65000</v>
          </cell>
          <cell r="AB1680" t="str">
            <v>dos</v>
          </cell>
        </row>
        <row r="1681">
          <cell r="A1681" t="str">
            <v>MAITOSK</v>
          </cell>
          <cell r="B1681" t="str">
            <v>Snack Hostest Maitos KECIL</v>
          </cell>
          <cell r="C1681">
            <v>20</v>
          </cell>
          <cell r="D1681" t="str">
            <v>pak</v>
          </cell>
          <cell r="E1681">
            <v>17666.666666666668</v>
          </cell>
          <cell r="F1681">
            <v>53000</v>
          </cell>
          <cell r="G1681">
            <v>883.33333333333337</v>
          </cell>
          <cell r="H1681">
            <v>1000</v>
          </cell>
          <cell r="I1681" t="str">
            <v>pc</v>
          </cell>
          <cell r="J1681">
            <v>1000</v>
          </cell>
          <cell r="K1681" t="str">
            <v>pc</v>
          </cell>
          <cell r="L1681">
            <v>1000</v>
          </cell>
          <cell r="M1681" t="str">
            <v>pc</v>
          </cell>
          <cell r="Q1681">
            <v>18500</v>
          </cell>
          <cell r="R1681">
            <v>20</v>
          </cell>
          <cell r="S1681" t="str">
            <v>pak</v>
          </cell>
          <cell r="AA1681">
            <v>55500</v>
          </cell>
          <cell r="AB1681" t="str">
            <v>dos</v>
          </cell>
        </row>
        <row r="1682">
          <cell r="A1682" t="str">
            <v>HOTSA</v>
          </cell>
          <cell r="B1682" t="str">
            <v>Snack HOTSA</v>
          </cell>
          <cell r="C1682">
            <v>15</v>
          </cell>
          <cell r="D1682" t="str">
            <v>pcs</v>
          </cell>
          <cell r="E1682">
            <v>12000</v>
          </cell>
          <cell r="F1682">
            <v>96000</v>
          </cell>
          <cell r="G1682">
            <v>800</v>
          </cell>
          <cell r="H1682">
            <v>1000</v>
          </cell>
          <cell r="I1682" t="str">
            <v>pc</v>
          </cell>
          <cell r="J1682">
            <v>1000</v>
          </cell>
          <cell r="K1682" t="str">
            <v>pc</v>
          </cell>
          <cell r="L1682">
            <v>1000</v>
          </cell>
          <cell r="M1682" t="str">
            <v>pc</v>
          </cell>
          <cell r="Q1682">
            <v>13000</v>
          </cell>
          <cell r="R1682">
            <v>15</v>
          </cell>
          <cell r="S1682" t="str">
            <v>pak</v>
          </cell>
          <cell r="AA1682">
            <v>98500</v>
          </cell>
          <cell r="AB1682" t="str">
            <v>dos</v>
          </cell>
        </row>
        <row r="1683">
          <cell r="A1683" t="str">
            <v>HOYA</v>
          </cell>
          <cell r="B1683" t="str">
            <v>Snack HOYA</v>
          </cell>
          <cell r="C1683">
            <v>10</v>
          </cell>
          <cell r="D1683" t="str">
            <v>pak</v>
          </cell>
          <cell r="E1683">
            <v>7800</v>
          </cell>
          <cell r="F1683">
            <v>39000</v>
          </cell>
          <cell r="G1683">
            <v>780</v>
          </cell>
          <cell r="H1683">
            <v>1000</v>
          </cell>
          <cell r="I1683" t="str">
            <v>pc</v>
          </cell>
          <cell r="J1683">
            <v>1000</v>
          </cell>
          <cell r="K1683" t="str">
            <v>pc</v>
          </cell>
          <cell r="L1683">
            <v>1000</v>
          </cell>
          <cell r="M1683" t="str">
            <v>pc</v>
          </cell>
          <cell r="Q1683">
            <v>9000</v>
          </cell>
          <cell r="R1683">
            <v>10</v>
          </cell>
          <cell r="S1683" t="str">
            <v>pak</v>
          </cell>
          <cell r="AA1683">
            <v>41500</v>
          </cell>
          <cell r="AB1683" t="str">
            <v>dos</v>
          </cell>
        </row>
        <row r="1684">
          <cell r="A1684" t="str">
            <v>ESPUTER</v>
          </cell>
          <cell r="B1684" t="str">
            <v>INDRA ES PUTER</v>
          </cell>
          <cell r="C1684">
            <v>6</v>
          </cell>
          <cell r="D1684" t="str">
            <v>pcs</v>
          </cell>
          <cell r="E1684">
            <v>4833.333333333333</v>
          </cell>
          <cell r="F1684">
            <v>58000</v>
          </cell>
          <cell r="G1684">
            <v>805.55555555555554</v>
          </cell>
          <cell r="Q1684">
            <v>6000</v>
          </cell>
          <cell r="R1684">
            <v>6</v>
          </cell>
          <cell r="S1684" t="str">
            <v>pak</v>
          </cell>
        </row>
        <row r="1685">
          <cell r="A1685" t="str">
            <v>INDRA50</v>
          </cell>
          <cell r="B1685" t="str">
            <v>Snack INDRA ISI 50</v>
          </cell>
          <cell r="C1685">
            <v>50</v>
          </cell>
          <cell r="D1685" t="str">
            <v>pcs</v>
          </cell>
          <cell r="E1685">
            <v>21000</v>
          </cell>
          <cell r="F1685">
            <v>63000</v>
          </cell>
          <cell r="G1685">
            <v>420</v>
          </cell>
          <cell r="Q1685">
            <v>24000</v>
          </cell>
          <cell r="R1685">
            <v>50</v>
          </cell>
          <cell r="S1685" t="str">
            <v>pak</v>
          </cell>
          <cell r="AA1685">
            <v>66000</v>
          </cell>
          <cell r="AB1685" t="str">
            <v>dos</v>
          </cell>
        </row>
        <row r="1686">
          <cell r="A1686" t="str">
            <v>INDRA80</v>
          </cell>
          <cell r="B1686" t="str">
            <v>Snack INDRA ISI 80</v>
          </cell>
          <cell r="C1686">
            <v>80</v>
          </cell>
          <cell r="D1686" t="str">
            <v>pcs</v>
          </cell>
          <cell r="E1686">
            <v>43000</v>
          </cell>
          <cell r="F1686">
            <v>86000</v>
          </cell>
          <cell r="G1686">
            <v>537.5</v>
          </cell>
          <cell r="Q1686">
            <v>45000</v>
          </cell>
          <cell r="R1686">
            <v>80</v>
          </cell>
          <cell r="S1686" t="str">
            <v>pak</v>
          </cell>
          <cell r="AA1686">
            <v>89000</v>
          </cell>
          <cell r="AB1686" t="str">
            <v>dos</v>
          </cell>
        </row>
        <row r="1687">
          <cell r="A1687" t="str">
            <v>ISABELA</v>
          </cell>
          <cell r="B1687" t="str">
            <v>Snack Isabela / Bima Sakti</v>
          </cell>
          <cell r="C1687">
            <v>20</v>
          </cell>
          <cell r="D1687" t="str">
            <v>rtg</v>
          </cell>
          <cell r="E1687">
            <v>9000</v>
          </cell>
          <cell r="F1687">
            <v>45000</v>
          </cell>
          <cell r="G1687">
            <v>450</v>
          </cell>
          <cell r="Q1687">
            <v>9500</v>
          </cell>
          <cell r="R1687">
            <v>20</v>
          </cell>
          <cell r="S1687" t="str">
            <v>pak</v>
          </cell>
          <cell r="W1687">
            <v>5000</v>
          </cell>
          <cell r="X1687" t="str">
            <v>rtg</v>
          </cell>
          <cell r="AA1687">
            <v>46000</v>
          </cell>
          <cell r="AB1687" t="str">
            <v>dos</v>
          </cell>
        </row>
        <row r="1688">
          <cell r="A1688" t="str">
            <v>JAIPONG</v>
          </cell>
          <cell r="B1688" t="str">
            <v>Snack Jaipong/Mie Kotak</v>
          </cell>
          <cell r="C1688">
            <v>10</v>
          </cell>
          <cell r="D1688" t="str">
            <v>dos</v>
          </cell>
          <cell r="E1688">
            <v>4350</v>
          </cell>
          <cell r="F1688">
            <v>87000</v>
          </cell>
          <cell r="G1688">
            <v>435</v>
          </cell>
          <cell r="Q1688">
            <v>5000</v>
          </cell>
          <cell r="R1688">
            <v>10</v>
          </cell>
          <cell r="S1688" t="str">
            <v>pak</v>
          </cell>
          <cell r="AA1688">
            <v>89500</v>
          </cell>
          <cell r="AB1688" t="str">
            <v>dos</v>
          </cell>
        </row>
        <row r="1689">
          <cell r="A1689" t="str">
            <v>KARAOKE</v>
          </cell>
          <cell r="B1689" t="str">
            <v>Snack Jeli KARAOKE</v>
          </cell>
          <cell r="C1689">
            <v>10</v>
          </cell>
          <cell r="D1689" t="str">
            <v>pcs</v>
          </cell>
          <cell r="E1689">
            <v>4300</v>
          </cell>
          <cell r="F1689">
            <v>43000</v>
          </cell>
          <cell r="G1689">
            <v>430</v>
          </cell>
          <cell r="Q1689">
            <v>5000</v>
          </cell>
          <cell r="S1689" t="str">
            <v>pak</v>
          </cell>
        </row>
        <row r="1690">
          <cell r="A1690" t="str">
            <v>SARIPATI</v>
          </cell>
          <cell r="B1690" t="str">
            <v>Snack Jeli SARIPATI</v>
          </cell>
          <cell r="C1690">
            <v>15</v>
          </cell>
          <cell r="D1690" t="str">
            <v>pcs</v>
          </cell>
          <cell r="E1690">
            <v>10666.666666666666</v>
          </cell>
          <cell r="F1690">
            <v>64000</v>
          </cell>
          <cell r="G1690">
            <v>711.11111111111109</v>
          </cell>
          <cell r="Q1690">
            <v>12500</v>
          </cell>
          <cell r="S1690" t="str">
            <v>pak</v>
          </cell>
        </row>
        <row r="1691">
          <cell r="A1691" t="str">
            <v>JELIG</v>
          </cell>
          <cell r="B1691" t="str">
            <v>Snack Jeli INDRA GELAS</v>
          </cell>
          <cell r="C1691">
            <v>20</v>
          </cell>
          <cell r="D1691" t="str">
            <v>pcs</v>
          </cell>
          <cell r="E1691">
            <v>7833.333333333333</v>
          </cell>
          <cell r="F1691">
            <v>94000</v>
          </cell>
          <cell r="G1691">
            <v>391.66666666666663</v>
          </cell>
          <cell r="Q1691">
            <v>10000</v>
          </cell>
          <cell r="R1691">
            <v>10</v>
          </cell>
          <cell r="S1691" t="str">
            <v>pak</v>
          </cell>
          <cell r="AA1691">
            <v>97000</v>
          </cell>
          <cell r="AB1691" t="str">
            <v>dos</v>
          </cell>
        </row>
        <row r="1692">
          <cell r="A1692" t="str">
            <v>MOTIF</v>
          </cell>
          <cell r="B1692" t="str">
            <v>Snack Jeli MOTIF</v>
          </cell>
          <cell r="C1692">
            <v>6</v>
          </cell>
          <cell r="D1692" t="str">
            <v>pcs</v>
          </cell>
          <cell r="E1692">
            <v>4777.7777777777774</v>
          </cell>
          <cell r="F1692">
            <v>86000</v>
          </cell>
          <cell r="G1692">
            <v>796.29629629629619</v>
          </cell>
          <cell r="Q1692">
            <v>6000</v>
          </cell>
          <cell r="R1692">
            <v>6</v>
          </cell>
          <cell r="S1692" t="str">
            <v>pak</v>
          </cell>
          <cell r="AA1692">
            <v>85000</v>
          </cell>
          <cell r="AB1692" t="str">
            <v>dos</v>
          </cell>
        </row>
        <row r="1693">
          <cell r="A1693" t="str">
            <v>GASING</v>
          </cell>
          <cell r="B1693" t="str">
            <v>Snack Jeli GASING</v>
          </cell>
          <cell r="C1693">
            <v>10</v>
          </cell>
          <cell r="D1693" t="str">
            <v>pak</v>
          </cell>
          <cell r="E1693">
            <v>4350</v>
          </cell>
          <cell r="F1693">
            <v>43500</v>
          </cell>
          <cell r="G1693">
            <v>435</v>
          </cell>
          <cell r="Q1693">
            <v>5500</v>
          </cell>
          <cell r="R1693">
            <v>10</v>
          </cell>
          <cell r="S1693" t="str">
            <v>rtg</v>
          </cell>
          <cell r="AA1693">
            <v>46500</v>
          </cell>
          <cell r="AB1693" t="str">
            <v>dos</v>
          </cell>
        </row>
        <row r="1694">
          <cell r="A1694" t="str">
            <v>WOWG</v>
          </cell>
          <cell r="B1694" t="str">
            <v>Snack GASING WOW</v>
          </cell>
          <cell r="C1694">
            <v>40</v>
          </cell>
          <cell r="D1694" t="str">
            <v>tpl</v>
          </cell>
          <cell r="E1694">
            <v>29166.666666666668</v>
          </cell>
          <cell r="F1694">
            <v>175000</v>
          </cell>
          <cell r="G1694">
            <v>729.16666666666674</v>
          </cell>
          <cell r="Q1694">
            <v>34000</v>
          </cell>
          <cell r="S1694" t="str">
            <v>topl</v>
          </cell>
        </row>
        <row r="1695">
          <cell r="A1695" t="str">
            <v>EMBER</v>
          </cell>
          <cell r="B1695" t="str">
            <v>Snack Jeli Ember Hitam</v>
          </cell>
          <cell r="C1695">
            <v>10</v>
          </cell>
          <cell r="D1695" t="str">
            <v>pak</v>
          </cell>
          <cell r="E1695">
            <v>1333.3333333333333</v>
          </cell>
          <cell r="F1695">
            <v>16000</v>
          </cell>
          <cell r="G1695">
            <v>133.33333333333331</v>
          </cell>
          <cell r="H1695">
            <v>2000</v>
          </cell>
          <cell r="I1695" t="str">
            <v>pak</v>
          </cell>
          <cell r="J1695">
            <v>2000</v>
          </cell>
          <cell r="K1695" t="str">
            <v>pak</v>
          </cell>
          <cell r="L1695">
            <v>1700</v>
          </cell>
          <cell r="M1695" t="str">
            <v>pak</v>
          </cell>
          <cell r="T1695">
            <v>19000</v>
          </cell>
          <cell r="U1695">
            <v>12</v>
          </cell>
          <cell r="V1695" t="str">
            <v>lsn</v>
          </cell>
          <cell r="W1695">
            <v>1500</v>
          </cell>
          <cell r="X1695" t="str">
            <v>pcs</v>
          </cell>
          <cell r="Y1695">
            <v>1583.3333333333333</v>
          </cell>
          <cell r="Z1695" t="str">
            <v>pcs</v>
          </cell>
          <cell r="AA1695">
            <v>98000</v>
          </cell>
          <cell r="AB1695" t="str">
            <v>ember</v>
          </cell>
        </row>
        <row r="1696">
          <cell r="A1696" t="str">
            <v>JELIMINI</v>
          </cell>
          <cell r="B1696" t="str">
            <v>Snack Jeli MINI TOPLES</v>
          </cell>
          <cell r="C1696">
            <v>30</v>
          </cell>
          <cell r="D1696" t="str">
            <v>pak</v>
          </cell>
          <cell r="E1696">
            <v>12833.333333333334</v>
          </cell>
          <cell r="F1696">
            <v>38500</v>
          </cell>
          <cell r="G1696">
            <v>427.77777777777777</v>
          </cell>
          <cell r="Q1696">
            <v>15500</v>
          </cell>
          <cell r="S1696" t="str">
            <v>topl</v>
          </cell>
        </row>
        <row r="1697">
          <cell r="A1697" t="str">
            <v>INDRA10</v>
          </cell>
          <cell r="B1697" t="str">
            <v>Snack Jeli Indra isi 10</v>
          </cell>
          <cell r="C1697">
            <v>10</v>
          </cell>
          <cell r="D1697" t="str">
            <v>pak</v>
          </cell>
          <cell r="E1697">
            <v>4083.3333333333335</v>
          </cell>
          <cell r="F1697">
            <v>49000</v>
          </cell>
          <cell r="G1697">
            <v>408.33333333333337</v>
          </cell>
          <cell r="Q1697">
            <v>5000</v>
          </cell>
          <cell r="R1697">
            <v>5</v>
          </cell>
          <cell r="S1697" t="str">
            <v>pak</v>
          </cell>
          <cell r="AA1697">
            <v>50000</v>
          </cell>
          <cell r="AB1697" t="str">
            <v>dos</v>
          </cell>
        </row>
        <row r="1698">
          <cell r="A1698" t="str">
            <v>INDRA25</v>
          </cell>
          <cell r="B1698" t="str">
            <v>Snack Jeli Indra isi 25 Hadiah Gunting</v>
          </cell>
          <cell r="C1698">
            <v>30</v>
          </cell>
          <cell r="D1698" t="str">
            <v>pak</v>
          </cell>
          <cell r="E1698">
            <v>11400</v>
          </cell>
          <cell r="F1698">
            <v>114000</v>
          </cell>
          <cell r="G1698">
            <v>380</v>
          </cell>
          <cell r="Q1698">
            <v>13000</v>
          </cell>
          <cell r="R1698">
            <v>30</v>
          </cell>
          <cell r="S1698" t="str">
            <v>pak</v>
          </cell>
          <cell r="AA1698">
            <v>83500</v>
          </cell>
          <cell r="AB1698" t="str">
            <v>dos</v>
          </cell>
        </row>
        <row r="1699">
          <cell r="A1699" t="str">
            <v>INDRA6</v>
          </cell>
          <cell r="B1699" t="str">
            <v>Jeli INDRA NATA ISI 6 pc</v>
          </cell>
          <cell r="C1699">
            <v>6</v>
          </cell>
          <cell r="D1699" t="str">
            <v>pak</v>
          </cell>
          <cell r="E1699">
            <v>9500</v>
          </cell>
          <cell r="F1699">
            <v>114000</v>
          </cell>
          <cell r="G1699">
            <v>1583.3333333333333</v>
          </cell>
          <cell r="Q1699">
            <v>6000</v>
          </cell>
          <cell r="S1699" t="str">
            <v>pak</v>
          </cell>
        </row>
        <row r="1700">
          <cell r="A1700" t="str">
            <v>INDRA8</v>
          </cell>
          <cell r="B1700" t="str">
            <v>Jeli INDRA NATA ISI 8 pc</v>
          </cell>
          <cell r="C1700">
            <v>8</v>
          </cell>
          <cell r="D1700" t="str">
            <v>pak</v>
          </cell>
          <cell r="E1700">
            <v>4833.333333333333</v>
          </cell>
          <cell r="F1700">
            <v>58000</v>
          </cell>
          <cell r="G1700">
            <v>604.16666666666663</v>
          </cell>
          <cell r="Q1700">
            <v>6000</v>
          </cell>
          <cell r="S1700" t="str">
            <v>pak</v>
          </cell>
        </row>
        <row r="1701">
          <cell r="A1701" t="str">
            <v>INDRA70</v>
          </cell>
          <cell r="B1701" t="str">
            <v>Jeli INDRA  ISI 70 pc box</v>
          </cell>
          <cell r="C1701">
            <v>70</v>
          </cell>
          <cell r="D1701" t="str">
            <v>pak</v>
          </cell>
          <cell r="E1701">
            <v>21750</v>
          </cell>
          <cell r="F1701">
            <v>87000</v>
          </cell>
          <cell r="G1701">
            <v>310.71428571428572</v>
          </cell>
          <cell r="Q1701">
            <v>24000</v>
          </cell>
          <cell r="S1701" t="str">
            <v>pak</v>
          </cell>
        </row>
        <row r="1702">
          <cell r="A1702" t="str">
            <v>BELIMBING</v>
          </cell>
          <cell r="B1702" t="str">
            <v>Snack Jeli BELIMBING TOPLES</v>
          </cell>
          <cell r="C1702">
            <v>58</v>
          </cell>
          <cell r="D1702" t="str">
            <v>tpls</v>
          </cell>
          <cell r="E1702">
            <v>8083.333333333333</v>
          </cell>
          <cell r="F1702">
            <v>97000</v>
          </cell>
          <cell r="G1702">
            <v>139.36781609195401</v>
          </cell>
          <cell r="Q1702">
            <v>11000</v>
          </cell>
          <cell r="R1702">
            <v>55</v>
          </cell>
          <cell r="S1702" t="str">
            <v>tpls</v>
          </cell>
        </row>
        <row r="1703">
          <cell r="A1703" t="str">
            <v>INDRAT</v>
          </cell>
          <cell r="B1703" t="str">
            <v>Snack Jeli Indra TOPLES</v>
          </cell>
          <cell r="C1703">
            <v>90</v>
          </cell>
          <cell r="D1703" t="str">
            <v>tpls</v>
          </cell>
          <cell r="E1703">
            <v>11666.666666666666</v>
          </cell>
          <cell r="F1703">
            <v>70000</v>
          </cell>
          <cell r="G1703">
            <v>129.62962962962962</v>
          </cell>
          <cell r="Q1703">
            <v>12500</v>
          </cell>
          <cell r="R1703">
            <v>90</v>
          </cell>
          <cell r="S1703" t="str">
            <v>tpls</v>
          </cell>
          <cell r="AA1703">
            <v>73000</v>
          </cell>
          <cell r="AB1703" t="str">
            <v>dos</v>
          </cell>
        </row>
        <row r="1704">
          <cell r="A1704" t="str">
            <v>JELIPANJANG</v>
          </cell>
          <cell r="B1704" t="str">
            <v>Snack Jeli stik Panjang</v>
          </cell>
          <cell r="C1704">
            <v>200</v>
          </cell>
          <cell r="D1704" t="str">
            <v>pak</v>
          </cell>
          <cell r="E1704">
            <v>5500</v>
          </cell>
          <cell r="F1704">
            <v>220000</v>
          </cell>
          <cell r="G1704">
            <v>27.5</v>
          </cell>
        </row>
        <row r="1705">
          <cell r="A1705" t="str">
            <v>JELIPENDEK</v>
          </cell>
          <cell r="B1705" t="str">
            <v>Snack Jeli stik Pendek</v>
          </cell>
          <cell r="C1705">
            <v>50</v>
          </cell>
          <cell r="D1705" t="str">
            <v>pak</v>
          </cell>
          <cell r="E1705">
            <v>33125</v>
          </cell>
          <cell r="F1705">
            <v>265000</v>
          </cell>
          <cell r="G1705">
            <v>662.5</v>
          </cell>
        </row>
        <row r="1706">
          <cell r="A1706" t="str">
            <v>JELIVIT</v>
          </cell>
          <cell r="B1706" t="str">
            <v>Snack JELIVIT</v>
          </cell>
          <cell r="C1706">
            <v>36</v>
          </cell>
          <cell r="D1706" t="str">
            <v>pak</v>
          </cell>
          <cell r="E1706">
            <v>10600</v>
          </cell>
          <cell r="F1706">
            <v>212000</v>
          </cell>
          <cell r="G1706">
            <v>294.44444444444446</v>
          </cell>
        </row>
        <row r="1707">
          <cell r="A1707" t="str">
            <v>KANCIL</v>
          </cell>
          <cell r="B1707" t="str">
            <v>Snack Kancil Kacang Atom</v>
          </cell>
          <cell r="C1707">
            <v>20</v>
          </cell>
          <cell r="D1707" t="str">
            <v>pak</v>
          </cell>
          <cell r="E1707">
            <v>138000</v>
          </cell>
          <cell r="F1707">
            <v>82800</v>
          </cell>
          <cell r="G1707">
            <v>6900</v>
          </cell>
          <cell r="H1707">
            <v>7500</v>
          </cell>
          <cell r="I1707" t="str">
            <v>pc</v>
          </cell>
          <cell r="J1707">
            <v>7500</v>
          </cell>
          <cell r="K1707" t="str">
            <v>pc</v>
          </cell>
          <cell r="L1707">
            <v>7300</v>
          </cell>
          <cell r="M1707" t="str">
            <v>pc</v>
          </cell>
          <cell r="T1707">
            <v>85000</v>
          </cell>
          <cell r="U1707">
            <v>12</v>
          </cell>
          <cell r="V1707" t="str">
            <v>lsn</v>
          </cell>
          <cell r="W1707">
            <v>7000</v>
          </cell>
          <cell r="X1707" t="str">
            <v>pc</v>
          </cell>
          <cell r="Y1707">
            <v>7100</v>
          </cell>
          <cell r="Z1707" t="str">
            <v>pc</v>
          </cell>
          <cell r="AA1707">
            <v>142000</v>
          </cell>
          <cell r="AB1707" t="str">
            <v>pak</v>
          </cell>
        </row>
        <row r="1708">
          <cell r="A1708" t="str">
            <v>KAYAKING</v>
          </cell>
          <cell r="B1708" t="str">
            <v>Snack KAYA KING</v>
          </cell>
          <cell r="C1708">
            <v>20</v>
          </cell>
          <cell r="D1708" t="str">
            <v>pcs</v>
          </cell>
          <cell r="E1708">
            <v>16000</v>
          </cell>
          <cell r="F1708">
            <v>48000</v>
          </cell>
          <cell r="G1708">
            <v>800</v>
          </cell>
        </row>
        <row r="1709">
          <cell r="A1709" t="str">
            <v>KEJUCAKE</v>
          </cell>
          <cell r="B1709" t="str">
            <v>Snack Keju Cake</v>
          </cell>
          <cell r="C1709">
            <v>12</v>
          </cell>
          <cell r="D1709" t="str">
            <v>pak</v>
          </cell>
          <cell r="E1709">
            <v>15483.6</v>
          </cell>
          <cell r="F1709">
            <v>185803.2</v>
          </cell>
          <cell r="G1709">
            <v>1290.3</v>
          </cell>
          <cell r="Q1709">
            <v>16500</v>
          </cell>
          <cell r="R1709">
            <v>12</v>
          </cell>
          <cell r="S1709" t="str">
            <v>pak</v>
          </cell>
        </row>
        <row r="1710">
          <cell r="A1710" t="str">
            <v>KENTANGB</v>
          </cell>
          <cell r="B1710" t="str">
            <v>Snack Kentang 2000 B</v>
          </cell>
          <cell r="C1710">
            <v>6</v>
          </cell>
          <cell r="D1710" t="str">
            <v>pc</v>
          </cell>
          <cell r="E1710">
            <v>78000</v>
          </cell>
          <cell r="F1710">
            <v>156000</v>
          </cell>
          <cell r="G1710">
            <v>13000</v>
          </cell>
          <cell r="H1710">
            <v>14000</v>
          </cell>
          <cell r="I1710" t="str">
            <v>pc</v>
          </cell>
          <cell r="J1710">
            <v>14000</v>
          </cell>
          <cell r="K1710" t="str">
            <v>pc</v>
          </cell>
          <cell r="L1710">
            <v>14000</v>
          </cell>
          <cell r="M1710" t="str">
            <v>pc</v>
          </cell>
        </row>
        <row r="1711">
          <cell r="A1711" t="str">
            <v>KENTANGT</v>
          </cell>
          <cell r="B1711" t="str">
            <v>Snack Kentang 2000 T</v>
          </cell>
          <cell r="C1711">
            <v>20</v>
          </cell>
          <cell r="D1711" t="str">
            <v>pc</v>
          </cell>
          <cell r="E1711">
            <v>60000</v>
          </cell>
          <cell r="F1711">
            <v>36000</v>
          </cell>
          <cell r="G1711">
            <v>3000</v>
          </cell>
          <cell r="H1711">
            <v>5000</v>
          </cell>
          <cell r="I1711" t="str">
            <v>pc</v>
          </cell>
          <cell r="J1711">
            <v>5000</v>
          </cell>
          <cell r="K1711" t="str">
            <v>pc</v>
          </cell>
          <cell r="L1711">
            <v>4000</v>
          </cell>
          <cell r="M1711" t="str">
            <v>pc</v>
          </cell>
          <cell r="T1711">
            <v>39000</v>
          </cell>
          <cell r="U1711">
            <v>12</v>
          </cell>
          <cell r="V1711" t="str">
            <v>lsn</v>
          </cell>
          <cell r="W1711">
            <v>3500</v>
          </cell>
          <cell r="X1711" t="str">
            <v>pc</v>
          </cell>
          <cell r="Y1711">
            <v>3700</v>
          </cell>
          <cell r="Z1711" t="str">
            <v>pc</v>
          </cell>
        </row>
        <row r="1712">
          <cell r="A1712" t="str">
            <v>KENTANGK</v>
          </cell>
          <cell r="B1712" t="str">
            <v>Snack Kentang 2000 K</v>
          </cell>
          <cell r="C1712">
            <v>40</v>
          </cell>
          <cell r="D1712" t="str">
            <v>pak</v>
          </cell>
          <cell r="E1712">
            <v>36000</v>
          </cell>
          <cell r="F1712">
            <v>18000</v>
          </cell>
          <cell r="G1712">
            <v>900</v>
          </cell>
          <cell r="Q1712">
            <v>19000</v>
          </cell>
          <cell r="S1712" t="str">
            <v>pak</v>
          </cell>
        </row>
        <row r="1713">
          <cell r="A1713" t="str">
            <v>KIKI</v>
          </cell>
          <cell r="B1713" t="str">
            <v>Snack Kiki/Miku</v>
          </cell>
          <cell r="C1713">
            <v>10</v>
          </cell>
          <cell r="D1713" t="str">
            <v>rtg</v>
          </cell>
          <cell r="E1713">
            <v>3450</v>
          </cell>
          <cell r="F1713">
            <v>34500</v>
          </cell>
          <cell r="G1713">
            <v>345</v>
          </cell>
        </row>
        <row r="1714">
          <cell r="A1714" t="str">
            <v>TAMMIE</v>
          </cell>
          <cell r="B1714" t="str">
            <v>Snack TAMMIE</v>
          </cell>
          <cell r="C1714">
            <v>20</v>
          </cell>
          <cell r="D1714" t="str">
            <v>pak</v>
          </cell>
          <cell r="E1714">
            <v>8333.3333333333339</v>
          </cell>
          <cell r="F1714">
            <v>50000</v>
          </cell>
          <cell r="G1714">
            <v>416.66666666666669</v>
          </cell>
          <cell r="Q1714">
            <v>9500</v>
          </cell>
          <cell r="S1714" t="str">
            <v>pak</v>
          </cell>
        </row>
        <row r="1715">
          <cell r="A1715" t="str">
            <v>KLOP</v>
          </cell>
          <cell r="B1715" t="str">
            <v>Snack Klop 1000</v>
          </cell>
          <cell r="C1715">
            <v>10</v>
          </cell>
          <cell r="D1715" t="str">
            <v>pak</v>
          </cell>
          <cell r="E1715">
            <v>16000</v>
          </cell>
          <cell r="F1715">
            <v>96000</v>
          </cell>
          <cell r="G1715">
            <v>1600</v>
          </cell>
          <cell r="H1715">
            <v>2000</v>
          </cell>
          <cell r="I1715" t="str">
            <v>pc</v>
          </cell>
          <cell r="J1715">
            <v>2000</v>
          </cell>
          <cell r="K1715" t="str">
            <v>pc</v>
          </cell>
          <cell r="L1715">
            <v>2000</v>
          </cell>
          <cell r="M1715" t="str">
            <v>pc</v>
          </cell>
          <cell r="Q1715">
            <v>17500</v>
          </cell>
          <cell r="R1715">
            <v>10</v>
          </cell>
          <cell r="S1715" t="str">
            <v>pak</v>
          </cell>
        </row>
        <row r="1716">
          <cell r="A1716" t="str">
            <v>KOROKU</v>
          </cell>
          <cell r="B1716" t="str">
            <v>Snack Koroku</v>
          </cell>
          <cell r="C1716">
            <v>20</v>
          </cell>
          <cell r="D1716" t="str">
            <v>rtg</v>
          </cell>
          <cell r="E1716">
            <v>9000</v>
          </cell>
          <cell r="F1716">
            <v>45000</v>
          </cell>
          <cell r="G1716">
            <v>450</v>
          </cell>
        </row>
        <row r="1717">
          <cell r="A1717" t="str">
            <v>KRESBOLP</v>
          </cell>
          <cell r="B1717" t="str">
            <v>Snack Koting/Kresbol Oven/SUPERBOY BISKUIT</v>
          </cell>
          <cell r="C1717">
            <v>20</v>
          </cell>
          <cell r="D1717" t="str">
            <v>pak</v>
          </cell>
          <cell r="E1717">
            <v>8333.3333333333339</v>
          </cell>
          <cell r="F1717">
            <v>50000</v>
          </cell>
          <cell r="G1717">
            <v>416.66666666666669</v>
          </cell>
          <cell r="Q1717">
            <v>9500</v>
          </cell>
          <cell r="R1717">
            <v>20</v>
          </cell>
          <cell r="S1717" t="str">
            <v>pak</v>
          </cell>
          <cell r="AA1717">
            <v>44000</v>
          </cell>
          <cell r="AB1717" t="str">
            <v>dos</v>
          </cell>
        </row>
        <row r="1718">
          <cell r="A1718" t="str">
            <v>KRESBOLS</v>
          </cell>
          <cell r="B1718" t="str">
            <v>Snack KRESBOL STICK</v>
          </cell>
          <cell r="C1718">
            <v>20</v>
          </cell>
          <cell r="D1718" t="str">
            <v>pak</v>
          </cell>
          <cell r="E1718">
            <v>7833.333333333333</v>
          </cell>
          <cell r="F1718">
            <v>94000</v>
          </cell>
          <cell r="G1718">
            <v>391.66666666666663</v>
          </cell>
          <cell r="Q1718">
            <v>9000</v>
          </cell>
          <cell r="R1718">
            <v>20</v>
          </cell>
          <cell r="S1718" t="str">
            <v>pak</v>
          </cell>
          <cell r="AA1718">
            <v>97000</v>
          </cell>
          <cell r="AB1718" t="str">
            <v>dos</v>
          </cell>
        </row>
        <row r="1719">
          <cell r="A1719" t="str">
            <v>PINGUIN</v>
          </cell>
          <cell r="B1719" t="str">
            <v>Snack Krupuk Pinguin Sambal/camilan</v>
          </cell>
          <cell r="C1719">
            <v>20</v>
          </cell>
          <cell r="D1719" t="str">
            <v>pak</v>
          </cell>
          <cell r="E1719">
            <v>8100</v>
          </cell>
          <cell r="F1719">
            <v>81000</v>
          </cell>
          <cell r="G1719">
            <v>405</v>
          </cell>
          <cell r="Q1719">
            <v>9000</v>
          </cell>
          <cell r="R1719">
            <v>20</v>
          </cell>
          <cell r="S1719" t="str">
            <v>pak</v>
          </cell>
          <cell r="AA1719">
            <v>83500</v>
          </cell>
          <cell r="AB1719" t="str">
            <v>dos</v>
          </cell>
        </row>
        <row r="1720">
          <cell r="A1720" t="str">
            <v>APAP</v>
          </cell>
          <cell r="B1720" t="str">
            <v>Snack Kungfu Panda / Lima Stik / AP AP</v>
          </cell>
          <cell r="C1720">
            <v>20</v>
          </cell>
          <cell r="D1720" t="str">
            <v>rtg</v>
          </cell>
          <cell r="E1720">
            <v>8500</v>
          </cell>
          <cell r="F1720">
            <v>51000</v>
          </cell>
          <cell r="G1720">
            <v>425</v>
          </cell>
          <cell r="Q1720">
            <v>9500</v>
          </cell>
          <cell r="R1720">
            <v>20</v>
          </cell>
          <cell r="S1720" t="str">
            <v>pak</v>
          </cell>
          <cell r="AA1720">
            <v>52500</v>
          </cell>
          <cell r="AB1720" t="str">
            <v>dos</v>
          </cell>
        </row>
        <row r="1721">
          <cell r="A1721" t="str">
            <v>KUPINGP</v>
          </cell>
          <cell r="B1721" t="str">
            <v>Snack Kuping Gajah Pak</v>
          </cell>
          <cell r="C1721">
            <v>20</v>
          </cell>
          <cell r="D1721" t="str">
            <v>pak</v>
          </cell>
          <cell r="E1721">
            <v>8071.4285714285716</v>
          </cell>
          <cell r="F1721">
            <v>56500</v>
          </cell>
          <cell r="G1721">
            <v>403.57142857142856</v>
          </cell>
          <cell r="Q1721">
            <v>9000</v>
          </cell>
          <cell r="R1721">
            <v>20</v>
          </cell>
          <cell r="S1721" t="str">
            <v>pak</v>
          </cell>
          <cell r="AA1721">
            <v>58500</v>
          </cell>
          <cell r="AB1721" t="str">
            <v>dos</v>
          </cell>
        </row>
        <row r="1722">
          <cell r="A1722" t="str">
            <v>KUPINGK</v>
          </cell>
          <cell r="B1722" t="str">
            <v>Snack Kuping Gajah Kiloan</v>
          </cell>
          <cell r="C1722">
            <v>8</v>
          </cell>
          <cell r="D1722" t="str">
            <v>bks</v>
          </cell>
          <cell r="E1722">
            <v>93000</v>
          </cell>
          <cell r="G1722">
            <v>11625</v>
          </cell>
          <cell r="H1722">
            <v>15000</v>
          </cell>
          <cell r="I1722" t="str">
            <v>Bks</v>
          </cell>
          <cell r="J1722">
            <v>15000</v>
          </cell>
          <cell r="K1722" t="str">
            <v>Bks</v>
          </cell>
          <cell r="L1722">
            <v>14500</v>
          </cell>
          <cell r="M1722" t="str">
            <v>Bks</v>
          </cell>
        </row>
        <row r="1723">
          <cell r="A1723" t="str">
            <v>KUSUKA60</v>
          </cell>
          <cell r="B1723" t="str">
            <v>Snack Kusuka 60 gr</v>
          </cell>
          <cell r="C1723">
            <v>30</v>
          </cell>
          <cell r="D1723" t="str">
            <v>pak</v>
          </cell>
          <cell r="E1723">
            <v>105000</v>
          </cell>
          <cell r="F1723">
            <v>42000</v>
          </cell>
          <cell r="G1723">
            <v>3500</v>
          </cell>
          <cell r="H1723">
            <v>4500</v>
          </cell>
          <cell r="I1723" t="str">
            <v>pc</v>
          </cell>
          <cell r="J1723">
            <v>4500</v>
          </cell>
          <cell r="K1723" t="str">
            <v>pc</v>
          </cell>
          <cell r="L1723">
            <v>4500</v>
          </cell>
          <cell r="M1723" t="str">
            <v>pc</v>
          </cell>
          <cell r="T1723">
            <v>44000</v>
          </cell>
          <cell r="U1723">
            <v>12</v>
          </cell>
          <cell r="V1723" t="str">
            <v>lsn</v>
          </cell>
          <cell r="W1723">
            <v>3700</v>
          </cell>
          <cell r="X1723" t="str">
            <v>pc</v>
          </cell>
          <cell r="Y1723">
            <v>3800</v>
          </cell>
          <cell r="Z1723" t="str">
            <v>pc</v>
          </cell>
          <cell r="AA1723">
            <v>107000</v>
          </cell>
          <cell r="AB1723" t="str">
            <v>dos</v>
          </cell>
        </row>
        <row r="1724">
          <cell r="A1724" t="str">
            <v>lays68</v>
          </cell>
          <cell r="B1724" t="str">
            <v>Snack Lays 68 gr</v>
          </cell>
          <cell r="C1724">
            <v>1</v>
          </cell>
          <cell r="D1724" t="str">
            <v>pc</v>
          </cell>
          <cell r="E1724">
            <v>8523.3279999999995</v>
          </cell>
          <cell r="F1724">
            <v>102279.93599999999</v>
          </cell>
          <cell r="G1724">
            <v>8523.3279999999995</v>
          </cell>
          <cell r="H1724">
            <v>10000</v>
          </cell>
          <cell r="I1724" t="str">
            <v>pc</v>
          </cell>
          <cell r="J1724">
            <v>9500</v>
          </cell>
          <cell r="K1724" t="str">
            <v>pc</v>
          </cell>
          <cell r="L1724">
            <v>9000</v>
          </cell>
          <cell r="M1724" t="str">
            <v>pc</v>
          </cell>
          <cell r="T1724">
            <v>106000</v>
          </cell>
          <cell r="U1724">
            <v>12</v>
          </cell>
          <cell r="V1724" t="str">
            <v>lsn</v>
          </cell>
          <cell r="W1724">
            <v>8800</v>
          </cell>
          <cell r="X1724" t="str">
            <v>pc</v>
          </cell>
          <cell r="Y1724">
            <v>8900</v>
          </cell>
          <cell r="Z1724" t="str">
            <v>pc</v>
          </cell>
        </row>
        <row r="1725">
          <cell r="A1725" t="str">
            <v>lays35</v>
          </cell>
          <cell r="B1725" t="str">
            <v>Snack Lays 35 gr</v>
          </cell>
          <cell r="C1725">
            <v>1</v>
          </cell>
          <cell r="D1725" t="str">
            <v>pc</v>
          </cell>
          <cell r="E1725">
            <v>4772.5039999999999</v>
          </cell>
          <cell r="F1725">
            <v>57270.047999999995</v>
          </cell>
          <cell r="G1725">
            <v>4772.5039999999999</v>
          </cell>
          <cell r="H1725">
            <v>6000</v>
          </cell>
          <cell r="I1725" t="str">
            <v>pc</v>
          </cell>
          <cell r="J1725">
            <v>6000</v>
          </cell>
          <cell r="K1725" t="str">
            <v>pc</v>
          </cell>
          <cell r="L1725">
            <v>5500</v>
          </cell>
          <cell r="M1725" t="str">
            <v>pc</v>
          </cell>
        </row>
        <row r="1726">
          <cell r="A1726" t="str">
            <v>lays168</v>
          </cell>
          <cell r="B1726" t="str">
            <v>Snack Lays 168 gr</v>
          </cell>
          <cell r="C1726">
            <v>12</v>
          </cell>
          <cell r="D1726" t="str">
            <v>pc</v>
          </cell>
          <cell r="E1726">
            <v>224999.995</v>
          </cell>
          <cell r="F1726">
            <v>224999.995</v>
          </cell>
          <cell r="G1726">
            <v>18749.999583333334</v>
          </cell>
          <cell r="H1726">
            <v>21000</v>
          </cell>
          <cell r="I1726" t="str">
            <v>pc</v>
          </cell>
          <cell r="J1726">
            <v>21000</v>
          </cell>
          <cell r="K1726" t="str">
            <v>pc</v>
          </cell>
          <cell r="L1726">
            <v>21000</v>
          </cell>
          <cell r="M1726" t="str">
            <v>pc</v>
          </cell>
        </row>
        <row r="1727">
          <cell r="A1727" t="str">
            <v>LEANET</v>
          </cell>
          <cell r="B1727" t="str">
            <v>Snack Lea Net / Tic-Tic</v>
          </cell>
          <cell r="C1727">
            <v>20</v>
          </cell>
          <cell r="D1727" t="str">
            <v>rtg</v>
          </cell>
          <cell r="E1727">
            <v>8400</v>
          </cell>
          <cell r="F1727">
            <v>42000</v>
          </cell>
          <cell r="G1727">
            <v>420</v>
          </cell>
          <cell r="N1727">
            <v>5000</v>
          </cell>
          <cell r="P1727" t="str">
            <v>rtg</v>
          </cell>
          <cell r="Q1727">
            <v>9500</v>
          </cell>
          <cell r="R1727">
            <v>20</v>
          </cell>
          <cell r="S1727" t="str">
            <v>pak</v>
          </cell>
          <cell r="AA1727">
            <v>45000</v>
          </cell>
          <cell r="AB1727" t="str">
            <v>dos</v>
          </cell>
        </row>
        <row r="1728">
          <cell r="A1728" t="str">
            <v>LEOK</v>
          </cell>
          <cell r="B1728" t="str">
            <v xml:space="preserve">Snack Leo </v>
          </cell>
          <cell r="C1728">
            <v>20</v>
          </cell>
          <cell r="D1728" t="str">
            <v>pak</v>
          </cell>
          <cell r="E1728">
            <v>16799.933333333334</v>
          </cell>
          <cell r="F1728">
            <v>50399.8</v>
          </cell>
          <cell r="G1728">
            <v>839.99666666666667</v>
          </cell>
          <cell r="N1728">
            <v>9000</v>
          </cell>
          <cell r="P1728" t="str">
            <v>rtg</v>
          </cell>
          <cell r="AA1728">
            <v>51000</v>
          </cell>
          <cell r="AB1728" t="str">
            <v>dos</v>
          </cell>
        </row>
        <row r="1729">
          <cell r="A1729" t="str">
            <v>USAGI</v>
          </cell>
          <cell r="B1729" t="str">
            <v>Snack USAGI</v>
          </cell>
          <cell r="C1729">
            <v>6</v>
          </cell>
          <cell r="D1729" t="str">
            <v>pak</v>
          </cell>
          <cell r="E1729">
            <v>49000</v>
          </cell>
          <cell r="G1729">
            <v>8166.666666666667</v>
          </cell>
          <cell r="N1729">
            <v>9000</v>
          </cell>
          <cell r="P1729" t="str">
            <v>rtg</v>
          </cell>
          <cell r="AA1729">
            <v>51000</v>
          </cell>
          <cell r="AB1729" t="str">
            <v>dos</v>
          </cell>
        </row>
        <row r="1730">
          <cell r="A1730" t="str">
            <v>LEO20</v>
          </cell>
          <cell r="B1730" t="str">
            <v>Snack Leo 20 GR</v>
          </cell>
          <cell r="C1730">
            <v>30</v>
          </cell>
          <cell r="D1730" t="str">
            <v>pcs</v>
          </cell>
          <cell r="E1730">
            <v>46799.5</v>
          </cell>
          <cell r="F1730">
            <v>18719.8</v>
          </cell>
          <cell r="G1730">
            <v>1559.9833333333333</v>
          </cell>
          <cell r="H1730">
            <v>2000</v>
          </cell>
          <cell r="I1730" t="str">
            <v>pc</v>
          </cell>
          <cell r="J1730">
            <v>2000</v>
          </cell>
          <cell r="K1730" t="str">
            <v>pc</v>
          </cell>
          <cell r="L1730">
            <v>2000</v>
          </cell>
          <cell r="M1730" t="str">
            <v>pc</v>
          </cell>
          <cell r="T1730">
            <v>21000</v>
          </cell>
          <cell r="U1730">
            <v>12</v>
          </cell>
          <cell r="V1730" t="str">
            <v>lsn</v>
          </cell>
          <cell r="W1730">
            <v>1750</v>
          </cell>
          <cell r="X1730" t="str">
            <v>pc</v>
          </cell>
          <cell r="Y1730">
            <v>1800</v>
          </cell>
          <cell r="Z1730" t="str">
            <v>pc</v>
          </cell>
          <cell r="AA1730">
            <v>48500</v>
          </cell>
          <cell r="AB1730" t="str">
            <v>dos</v>
          </cell>
        </row>
        <row r="1731">
          <cell r="A1731" t="str">
            <v>MAJESTIC90</v>
          </cell>
          <cell r="B1731" t="str">
            <v>Snack MAJESTIC 90 GR</v>
          </cell>
          <cell r="C1731">
            <v>30</v>
          </cell>
          <cell r="D1731" t="str">
            <v>pcs</v>
          </cell>
          <cell r="E1731">
            <v>79000</v>
          </cell>
          <cell r="F1731">
            <v>31600</v>
          </cell>
          <cell r="G1731">
            <v>2633.3333333333335</v>
          </cell>
          <cell r="H1731">
            <v>3500</v>
          </cell>
          <cell r="I1731" t="str">
            <v>pc</v>
          </cell>
          <cell r="J1731">
            <v>3500</v>
          </cell>
          <cell r="K1731" t="str">
            <v>pc</v>
          </cell>
          <cell r="L1731">
            <v>3000</v>
          </cell>
          <cell r="M1731" t="str">
            <v>pc</v>
          </cell>
          <cell r="T1731">
            <v>35000</v>
          </cell>
          <cell r="U1731">
            <v>12</v>
          </cell>
          <cell r="V1731" t="str">
            <v>lsn</v>
          </cell>
          <cell r="W1731">
            <v>2900</v>
          </cell>
          <cell r="X1731" t="str">
            <v>PC</v>
          </cell>
          <cell r="Y1731">
            <v>2916.6666666666665</v>
          </cell>
          <cell r="Z1731" t="str">
            <v>PC</v>
          </cell>
          <cell r="AA1731">
            <v>81000</v>
          </cell>
          <cell r="AB1731" t="str">
            <v>dos</v>
          </cell>
        </row>
        <row r="1732">
          <cell r="A1732" t="str">
            <v>magic</v>
          </cell>
          <cell r="B1732" t="str">
            <v>Snack Majig Spray</v>
          </cell>
          <cell r="C1732">
            <v>24</v>
          </cell>
          <cell r="D1732" t="str">
            <v>pak</v>
          </cell>
          <cell r="E1732">
            <v>16250</v>
          </cell>
          <cell r="F1732">
            <v>195000</v>
          </cell>
          <cell r="G1732">
            <v>677.08333333333337</v>
          </cell>
          <cell r="Q1732">
            <v>18000</v>
          </cell>
          <cell r="R1732">
            <v>24</v>
          </cell>
          <cell r="S1732" t="str">
            <v>pak</v>
          </cell>
          <cell r="AA1732">
            <v>199000</v>
          </cell>
          <cell r="AB1732" t="str">
            <v>dos</v>
          </cell>
        </row>
        <row r="1733">
          <cell r="A1733" t="str">
            <v>MARISUSUR</v>
          </cell>
          <cell r="B1733" t="str">
            <v>Snack Mari Susu renteng</v>
          </cell>
          <cell r="C1733">
            <v>20</v>
          </cell>
          <cell r="D1733" t="str">
            <v>pak</v>
          </cell>
          <cell r="E1733">
            <v>8083.333333333333</v>
          </cell>
          <cell r="F1733">
            <v>48500</v>
          </cell>
          <cell r="G1733">
            <v>404.16666666666663</v>
          </cell>
        </row>
        <row r="1734">
          <cell r="A1734" t="str">
            <v>MAYORIC</v>
          </cell>
          <cell r="B1734" t="str">
            <v>Snack MAYORI CANDY BISKUIT</v>
          </cell>
          <cell r="C1734">
            <v>20</v>
          </cell>
          <cell r="D1734" t="str">
            <v>pcs</v>
          </cell>
          <cell r="E1734">
            <v>8166.666666666667</v>
          </cell>
          <cell r="F1734">
            <v>49000</v>
          </cell>
          <cell r="G1734">
            <v>408.33333333333337</v>
          </cell>
          <cell r="Q1734">
            <v>9000</v>
          </cell>
          <cell r="R1734">
            <v>20</v>
          </cell>
          <cell r="S1734" t="str">
            <v>pak</v>
          </cell>
          <cell r="AA1734">
            <v>51000</v>
          </cell>
          <cell r="AB1734" t="str">
            <v>dos</v>
          </cell>
        </row>
        <row r="1735">
          <cell r="A1735" t="str">
            <v>MAYORIW</v>
          </cell>
          <cell r="B1735" t="str">
            <v>Snack MAYORI WAFER</v>
          </cell>
          <cell r="C1735">
            <v>10</v>
          </cell>
          <cell r="D1735" t="str">
            <v>pcs</v>
          </cell>
          <cell r="E1735">
            <v>4150</v>
          </cell>
          <cell r="F1735">
            <v>41500</v>
          </cell>
          <cell r="G1735">
            <v>415</v>
          </cell>
          <cell r="Q1735">
            <v>5000</v>
          </cell>
          <cell r="R1735">
            <v>10</v>
          </cell>
          <cell r="S1735" t="str">
            <v>pak</v>
          </cell>
          <cell r="AA1735">
            <v>43500</v>
          </cell>
          <cell r="AB1735" t="str">
            <v>dos</v>
          </cell>
        </row>
        <row r="1736">
          <cell r="A1736" t="str">
            <v>LONGSTICKP</v>
          </cell>
          <cell r="B1736" t="str">
            <v>Snack Mimigi long stik</v>
          </cell>
          <cell r="C1736">
            <v>20</v>
          </cell>
          <cell r="D1736" t="str">
            <v>pak</v>
          </cell>
          <cell r="E1736">
            <v>8416.6666666666661</v>
          </cell>
          <cell r="F1736">
            <v>50500</v>
          </cell>
          <cell r="G1736">
            <v>420.83333333333331</v>
          </cell>
          <cell r="Q1736">
            <v>10000</v>
          </cell>
          <cell r="R1736">
            <v>20</v>
          </cell>
          <cell r="S1736" t="str">
            <v>pak</v>
          </cell>
        </row>
        <row r="1737">
          <cell r="A1737" t="str">
            <v>NISUKA</v>
          </cell>
          <cell r="B1737" t="str">
            <v>Snack Nisuka stik</v>
          </cell>
          <cell r="C1737">
            <v>20</v>
          </cell>
          <cell r="D1737" t="str">
            <v>pak</v>
          </cell>
          <cell r="E1737">
            <v>8333.3333333333339</v>
          </cell>
          <cell r="F1737">
            <v>50000</v>
          </cell>
          <cell r="G1737">
            <v>416.66666666666669</v>
          </cell>
          <cell r="Q1737">
            <v>9500</v>
          </cell>
          <cell r="R1737">
            <v>20</v>
          </cell>
          <cell r="S1737" t="str">
            <v>pak</v>
          </cell>
          <cell r="AA1737">
            <v>51500</v>
          </cell>
          <cell r="AB1737" t="str">
            <v>dos</v>
          </cell>
        </row>
        <row r="1738">
          <cell r="A1738" t="str">
            <v>VINCENT</v>
          </cell>
          <cell r="B1738" t="str">
            <v>Snack WAFER VINCENT</v>
          </cell>
          <cell r="C1738">
            <v>20</v>
          </cell>
          <cell r="D1738" t="str">
            <v>pcs</v>
          </cell>
          <cell r="E1738">
            <v>8583.3333333333339</v>
          </cell>
          <cell r="F1738">
            <v>51500</v>
          </cell>
          <cell r="G1738">
            <v>429.16666666666669</v>
          </cell>
          <cell r="Q1738">
            <v>10000</v>
          </cell>
          <cell r="R1738">
            <v>20</v>
          </cell>
          <cell r="S1738" t="str">
            <v>pak</v>
          </cell>
          <cell r="AA1738">
            <v>53000</v>
          </cell>
          <cell r="AB1738" t="str">
            <v>dos</v>
          </cell>
        </row>
        <row r="1739">
          <cell r="A1739" t="str">
            <v>PELANGI</v>
          </cell>
          <cell r="B1739" t="str">
            <v>Snack TABELO Pelangi</v>
          </cell>
          <cell r="C1739">
            <v>20</v>
          </cell>
          <cell r="D1739" t="str">
            <v>pak</v>
          </cell>
          <cell r="E1739">
            <v>7791.666666666667</v>
          </cell>
          <cell r="F1739">
            <v>93500</v>
          </cell>
          <cell r="G1739">
            <v>389.58333333333337</v>
          </cell>
          <cell r="Q1739">
            <v>9000</v>
          </cell>
          <cell r="R1739">
            <v>20</v>
          </cell>
          <cell r="S1739" t="str">
            <v>pak</v>
          </cell>
          <cell r="AA1739">
            <v>97000</v>
          </cell>
          <cell r="AB1739" t="str">
            <v>dos</v>
          </cell>
        </row>
        <row r="1740">
          <cell r="A1740" t="str">
            <v>GOLDEN</v>
          </cell>
          <cell r="B1740" t="str">
            <v>Snack TABELO GOLDEN BALL</v>
          </cell>
          <cell r="C1740">
            <v>20</v>
          </cell>
          <cell r="D1740" t="str">
            <v>pak</v>
          </cell>
          <cell r="E1740">
            <v>16000</v>
          </cell>
          <cell r="F1740">
            <v>64000</v>
          </cell>
          <cell r="G1740">
            <v>800</v>
          </cell>
          <cell r="Q1740">
            <v>17500</v>
          </cell>
          <cell r="R1740">
            <v>20</v>
          </cell>
          <cell r="S1740" t="str">
            <v>topl</v>
          </cell>
          <cell r="AA1740">
            <v>67000</v>
          </cell>
          <cell r="AB1740" t="str">
            <v>dos</v>
          </cell>
        </row>
        <row r="1741">
          <cell r="A1741" t="str">
            <v>MIMI</v>
          </cell>
          <cell r="B1741" t="str">
            <v>Snack Mimi MILK</v>
          </cell>
          <cell r="C1741">
            <v>12</v>
          </cell>
          <cell r="D1741" t="str">
            <v>pak</v>
          </cell>
          <cell r="E1741">
            <v>25083.333333333332</v>
          </cell>
          <cell r="F1741">
            <v>301000</v>
          </cell>
          <cell r="G1741">
            <v>2090.2777777777778</v>
          </cell>
          <cell r="H1741">
            <v>2500</v>
          </cell>
          <cell r="I1741" t="str">
            <v>pc</v>
          </cell>
          <cell r="J1741">
            <v>2500</v>
          </cell>
          <cell r="K1741" t="str">
            <v>pc</v>
          </cell>
          <cell r="Q1741">
            <v>28000</v>
          </cell>
          <cell r="R1741">
            <v>20</v>
          </cell>
          <cell r="S1741" t="str">
            <v>pak</v>
          </cell>
        </row>
        <row r="1742">
          <cell r="A1742" t="str">
            <v>STICUR</v>
          </cell>
          <cell r="B1742" t="str">
            <v>Snack Sticu Renteng</v>
          </cell>
          <cell r="C1742">
            <v>10</v>
          </cell>
          <cell r="D1742" t="str">
            <v>rtg</v>
          </cell>
          <cell r="E1742">
            <v>4458.333333333333</v>
          </cell>
          <cell r="F1742">
            <v>53500</v>
          </cell>
          <cell r="G1742">
            <v>445.83333333333331</v>
          </cell>
          <cell r="N1742">
            <v>6000</v>
          </cell>
          <cell r="O1742">
            <v>10</v>
          </cell>
          <cell r="P1742" t="str">
            <v>rtg</v>
          </cell>
          <cell r="AA1742">
            <v>56000</v>
          </cell>
          <cell r="AB1742" t="str">
            <v>dos</v>
          </cell>
        </row>
        <row r="1743">
          <cell r="A1743" t="str">
            <v>MINIDONUT</v>
          </cell>
          <cell r="B1743" t="str">
            <v>Snack Mini Donut/Sticu Mesis</v>
          </cell>
          <cell r="C1743">
            <v>10</v>
          </cell>
          <cell r="D1743" t="str">
            <v>rtg</v>
          </cell>
          <cell r="E1743">
            <v>4166.666666666667</v>
          </cell>
          <cell r="F1743">
            <v>50000</v>
          </cell>
          <cell r="G1743">
            <v>416.66666666666669</v>
          </cell>
          <cell r="Q1743">
            <v>6000</v>
          </cell>
          <cell r="R1743">
            <v>10</v>
          </cell>
          <cell r="S1743" t="str">
            <v>pak</v>
          </cell>
          <cell r="AA1743">
            <v>52000</v>
          </cell>
          <cell r="AB1743" t="str">
            <v>dos</v>
          </cell>
        </row>
        <row r="1744">
          <cell r="A1744" t="str">
            <v>KARTUAS</v>
          </cell>
          <cell r="B1744" t="str">
            <v>Snack Mobil/Kartu As /BOBOI B/JEMPOL</v>
          </cell>
          <cell r="C1744">
            <v>10</v>
          </cell>
          <cell r="D1744" t="str">
            <v>pak</v>
          </cell>
          <cell r="E1744">
            <v>8833.3333333333339</v>
          </cell>
          <cell r="F1744">
            <v>53000</v>
          </cell>
          <cell r="G1744">
            <v>883.33333333333337</v>
          </cell>
          <cell r="Q1744">
            <v>9500</v>
          </cell>
          <cell r="R1744">
            <v>10</v>
          </cell>
          <cell r="S1744" t="str">
            <v>pak</v>
          </cell>
        </row>
        <row r="1745">
          <cell r="A1745" t="str">
            <v>MOMO</v>
          </cell>
          <cell r="B1745" t="str">
            <v>Snack MOMO TRIPLE COMBO</v>
          </cell>
          <cell r="C1745">
            <v>30</v>
          </cell>
          <cell r="D1745" t="str">
            <v>pak</v>
          </cell>
          <cell r="E1745">
            <v>12750</v>
          </cell>
          <cell r="F1745">
            <v>51000</v>
          </cell>
          <cell r="G1745">
            <v>425</v>
          </cell>
          <cell r="Q1745">
            <v>14000</v>
          </cell>
          <cell r="R1745">
            <v>30</v>
          </cell>
          <cell r="S1745" t="str">
            <v>pak</v>
          </cell>
        </row>
        <row r="1746">
          <cell r="A1746" t="str">
            <v>NABATI20</v>
          </cell>
          <cell r="B1746" t="str">
            <v>Snack Nabati Wafer 20 gr</v>
          </cell>
          <cell r="C1746">
            <v>10</v>
          </cell>
          <cell r="D1746" t="str">
            <v>pak</v>
          </cell>
          <cell r="E1746">
            <v>8000</v>
          </cell>
          <cell r="F1746">
            <v>96000</v>
          </cell>
          <cell r="G1746">
            <v>800</v>
          </cell>
          <cell r="Q1746">
            <v>9000</v>
          </cell>
          <cell r="S1746" t="str">
            <v>pak</v>
          </cell>
          <cell r="AA1746">
            <v>96000</v>
          </cell>
          <cell r="AB1746" t="str">
            <v>dos</v>
          </cell>
        </row>
        <row r="1747">
          <cell r="A1747" t="str">
            <v>NABATIK</v>
          </cell>
          <cell r="B1747" t="str">
            <v>Snack Nabati Wafer KECIL</v>
          </cell>
          <cell r="C1747">
            <v>20</v>
          </cell>
          <cell r="D1747" t="str">
            <v>pak</v>
          </cell>
          <cell r="E1747">
            <v>8000</v>
          </cell>
          <cell r="F1747">
            <v>96000</v>
          </cell>
          <cell r="G1747">
            <v>400</v>
          </cell>
          <cell r="H1747">
            <v>1000</v>
          </cell>
          <cell r="I1747" t="str">
            <v>pc</v>
          </cell>
          <cell r="J1747">
            <v>1000</v>
          </cell>
          <cell r="K1747" t="str">
            <v>pc</v>
          </cell>
          <cell r="L1747">
            <v>1000</v>
          </cell>
          <cell r="M1747" t="str">
            <v>pc</v>
          </cell>
          <cell r="Q1747">
            <v>9500</v>
          </cell>
          <cell r="R1747">
            <v>10</v>
          </cell>
          <cell r="S1747" t="str">
            <v>pak</v>
          </cell>
          <cell r="AA1747">
            <v>102000</v>
          </cell>
          <cell r="AB1747" t="str">
            <v>dos</v>
          </cell>
        </row>
        <row r="1748">
          <cell r="A1748" t="str">
            <v>NABATI50</v>
          </cell>
          <cell r="B1748" t="str">
            <v>Snack Nabati Wafer 50 gr</v>
          </cell>
          <cell r="C1748">
            <v>60</v>
          </cell>
          <cell r="D1748" t="str">
            <v>pcs</v>
          </cell>
          <cell r="E1748">
            <v>94800</v>
          </cell>
          <cell r="F1748">
            <v>18960</v>
          </cell>
          <cell r="G1748">
            <v>1580</v>
          </cell>
          <cell r="H1748">
            <v>2500</v>
          </cell>
          <cell r="I1748" t="str">
            <v>pc</v>
          </cell>
          <cell r="J1748">
            <v>2500</v>
          </cell>
          <cell r="K1748" t="str">
            <v>pc</v>
          </cell>
          <cell r="L1748">
            <v>2000</v>
          </cell>
          <cell r="M1748" t="str">
            <v>pc</v>
          </cell>
          <cell r="T1748">
            <v>23000</v>
          </cell>
          <cell r="U1748">
            <v>12</v>
          </cell>
          <cell r="V1748" t="str">
            <v>lsn</v>
          </cell>
          <cell r="W1748">
            <v>1950</v>
          </cell>
          <cell r="X1748" t="str">
            <v>pc</v>
          </cell>
          <cell r="Y1748">
            <v>1916.6666666666667</v>
          </cell>
          <cell r="Z1748" t="str">
            <v>pc</v>
          </cell>
          <cell r="AA1748">
            <v>110000</v>
          </cell>
          <cell r="AB1748" t="str">
            <v>dos</v>
          </cell>
        </row>
        <row r="1749">
          <cell r="A1749" t="str">
            <v>NABATI60</v>
          </cell>
          <cell r="B1749" t="str">
            <v>Snack Nabati Wafer 60 gr</v>
          </cell>
          <cell r="C1749">
            <v>10</v>
          </cell>
          <cell r="D1749" t="str">
            <v>pcs</v>
          </cell>
          <cell r="E1749">
            <v>23000</v>
          </cell>
          <cell r="F1749">
            <v>138000</v>
          </cell>
          <cell r="G1749">
            <v>2300</v>
          </cell>
          <cell r="H1749">
            <v>3000</v>
          </cell>
          <cell r="I1749" t="str">
            <v>pc</v>
          </cell>
          <cell r="J1749">
            <v>3000</v>
          </cell>
          <cell r="K1749" t="str">
            <v>pc</v>
          </cell>
          <cell r="L1749">
            <v>2500</v>
          </cell>
          <cell r="M1749" t="str">
            <v>pc</v>
          </cell>
          <cell r="T1749">
            <v>24000</v>
          </cell>
          <cell r="U1749">
            <v>12</v>
          </cell>
          <cell r="V1749" t="str">
            <v>lsn</v>
          </cell>
          <cell r="W1749">
            <v>1950</v>
          </cell>
          <cell r="X1749" t="str">
            <v>pc</v>
          </cell>
          <cell r="Y1749">
            <v>2000</v>
          </cell>
          <cell r="Z1749" t="str">
            <v>pc</v>
          </cell>
        </row>
        <row r="1750">
          <cell r="A1750" t="str">
            <v>NABATI145</v>
          </cell>
          <cell r="B1750" t="str">
            <v>Snack Nabati Wafer 145 gr</v>
          </cell>
          <cell r="C1750">
            <v>24</v>
          </cell>
          <cell r="D1750" t="str">
            <v>pcs</v>
          </cell>
          <cell r="E1750">
            <v>97200</v>
          </cell>
          <cell r="F1750">
            <v>48600</v>
          </cell>
          <cell r="G1750">
            <v>4050</v>
          </cell>
          <cell r="H1750">
            <v>5000</v>
          </cell>
          <cell r="I1750" t="str">
            <v>pc</v>
          </cell>
          <cell r="J1750">
            <v>5000</v>
          </cell>
          <cell r="K1750" t="str">
            <v>pc</v>
          </cell>
          <cell r="L1750">
            <v>4700</v>
          </cell>
          <cell r="M1750" t="str">
            <v>pc</v>
          </cell>
          <cell r="T1750">
            <v>54000</v>
          </cell>
          <cell r="U1750">
            <v>12</v>
          </cell>
          <cell r="V1750" t="str">
            <v>lsn</v>
          </cell>
          <cell r="W1750">
            <v>4400</v>
          </cell>
          <cell r="X1750" t="str">
            <v>pc</v>
          </cell>
          <cell r="Y1750">
            <v>4500</v>
          </cell>
          <cell r="Z1750" t="str">
            <v>pc</v>
          </cell>
          <cell r="AA1750">
            <v>106000</v>
          </cell>
          <cell r="AB1750" t="str">
            <v>dos</v>
          </cell>
        </row>
        <row r="1751">
          <cell r="A1751" t="str">
            <v>NYOT</v>
          </cell>
          <cell r="B1751" t="str">
            <v>Snack Nyot Nyot Real Good</v>
          </cell>
          <cell r="C1751">
            <v>10</v>
          </cell>
          <cell r="D1751" t="str">
            <v>rtg</v>
          </cell>
          <cell r="E1751">
            <v>3933.3333333333335</v>
          </cell>
          <cell r="F1751">
            <v>59000</v>
          </cell>
          <cell r="G1751">
            <v>393.33333333333337</v>
          </cell>
          <cell r="N1751">
            <v>4500</v>
          </cell>
          <cell r="O1751">
            <v>10</v>
          </cell>
          <cell r="P1751" t="str">
            <v>rtg</v>
          </cell>
          <cell r="AA1751">
            <v>62000</v>
          </cell>
          <cell r="AB1751" t="str">
            <v>dos</v>
          </cell>
        </row>
        <row r="1752">
          <cell r="A1752" t="str">
            <v>OPOTATOB</v>
          </cell>
          <cell r="B1752" t="str">
            <v>Snack O POTATO BESAR</v>
          </cell>
          <cell r="C1752">
            <v>10</v>
          </cell>
          <cell r="D1752" t="str">
            <v>pcs</v>
          </cell>
          <cell r="E1752">
            <v>26500</v>
          </cell>
          <cell r="F1752">
            <v>53000</v>
          </cell>
          <cell r="G1752">
            <v>2650</v>
          </cell>
          <cell r="H1752">
            <v>4000</v>
          </cell>
          <cell r="I1752" t="str">
            <v>pc</v>
          </cell>
          <cell r="J1752">
            <v>4000</v>
          </cell>
          <cell r="K1752" t="str">
            <v>pc</v>
          </cell>
          <cell r="L1752">
            <v>4000</v>
          </cell>
          <cell r="M1752" t="str">
            <v>pc</v>
          </cell>
          <cell r="Q1752">
            <v>29000</v>
          </cell>
          <cell r="R1752">
            <v>10</v>
          </cell>
          <cell r="S1752" t="str">
            <v>pak</v>
          </cell>
          <cell r="W1752">
            <v>2900</v>
          </cell>
          <cell r="X1752" t="str">
            <v>pc</v>
          </cell>
          <cell r="Y1752">
            <v>3100</v>
          </cell>
          <cell r="Z1752" t="str">
            <v>pc</v>
          </cell>
          <cell r="AA1752">
            <v>55500</v>
          </cell>
          <cell r="AB1752" t="str">
            <v>dos</v>
          </cell>
        </row>
        <row r="1753">
          <cell r="A1753" t="str">
            <v>YES</v>
          </cell>
          <cell r="B1753" t="str">
            <v>Snack YES PILLOW</v>
          </cell>
          <cell r="C1753">
            <v>20</v>
          </cell>
          <cell r="D1753" t="str">
            <v>pak</v>
          </cell>
          <cell r="E1753">
            <v>8750</v>
          </cell>
          <cell r="F1753">
            <v>70000</v>
          </cell>
          <cell r="G1753">
            <v>437.5</v>
          </cell>
          <cell r="Q1753">
            <v>9500</v>
          </cell>
          <cell r="R1753">
            <v>20</v>
          </cell>
          <cell r="S1753" t="str">
            <v>pak</v>
          </cell>
          <cell r="AA1753">
            <v>73000</v>
          </cell>
          <cell r="AB1753" t="str">
            <v>dos</v>
          </cell>
        </row>
        <row r="1754">
          <cell r="A1754" t="str">
            <v>OISIK</v>
          </cell>
          <cell r="B1754" t="str">
            <v>Snack Oisi Pillow Kecil</v>
          </cell>
          <cell r="C1754">
            <v>20</v>
          </cell>
          <cell r="D1754" t="str">
            <v>pak</v>
          </cell>
          <cell r="E1754">
            <v>9066.6666666666661</v>
          </cell>
          <cell r="F1754">
            <v>136000</v>
          </cell>
          <cell r="G1754">
            <v>453.33333333333331</v>
          </cell>
          <cell r="Q1754">
            <v>9500</v>
          </cell>
          <cell r="R1754">
            <v>20</v>
          </cell>
          <cell r="S1754" t="str">
            <v>pak</v>
          </cell>
          <cell r="W1754">
            <v>5000</v>
          </cell>
          <cell r="X1754" t="str">
            <v>rtg</v>
          </cell>
          <cell r="AA1754">
            <v>138500</v>
          </cell>
          <cell r="AB1754" t="str">
            <v>dos</v>
          </cell>
        </row>
        <row r="1755">
          <cell r="A1755" t="str">
            <v>PILLOWB</v>
          </cell>
          <cell r="B1755" t="str">
            <v>Snack Pillow BESAR</v>
          </cell>
          <cell r="C1755">
            <v>20</v>
          </cell>
          <cell r="D1755" t="str">
            <v>pc</v>
          </cell>
          <cell r="E1755">
            <v>145000</v>
          </cell>
          <cell r="F1755">
            <v>87000</v>
          </cell>
          <cell r="G1755">
            <v>7250</v>
          </cell>
          <cell r="H1755">
            <v>8500</v>
          </cell>
          <cell r="I1755" t="str">
            <v>pc</v>
          </cell>
          <cell r="J1755">
            <v>8500</v>
          </cell>
          <cell r="K1755" t="str">
            <v>pc</v>
          </cell>
          <cell r="L1755">
            <v>8000</v>
          </cell>
          <cell r="M1755" t="str">
            <v>pc</v>
          </cell>
        </row>
        <row r="1756">
          <cell r="A1756" t="str">
            <v>GEPREK</v>
          </cell>
          <cell r="B1756" t="str">
            <v>Snack GEPREK</v>
          </cell>
          <cell r="C1756">
            <v>5</v>
          </cell>
          <cell r="D1756" t="str">
            <v>pc</v>
          </cell>
          <cell r="E1756">
            <v>9250</v>
          </cell>
          <cell r="F1756">
            <v>55500</v>
          </cell>
          <cell r="G1756">
            <v>1850</v>
          </cell>
          <cell r="Q1756">
            <v>10000</v>
          </cell>
          <cell r="S1756" t="str">
            <v>pak</v>
          </cell>
        </row>
        <row r="1757">
          <cell r="A1757" t="str">
            <v>CHOCOBARR</v>
          </cell>
          <cell r="B1757" t="str">
            <v>Snack CHOCOBAR RENTENG</v>
          </cell>
          <cell r="C1757">
            <v>20</v>
          </cell>
          <cell r="D1757" t="str">
            <v>pc</v>
          </cell>
          <cell r="E1757">
            <v>8500</v>
          </cell>
          <cell r="F1757">
            <v>42500</v>
          </cell>
          <cell r="G1757">
            <v>425</v>
          </cell>
          <cell r="Q1757">
            <v>10000</v>
          </cell>
          <cell r="S1757" t="str">
            <v>pak</v>
          </cell>
        </row>
        <row r="1758">
          <cell r="A1758" t="str">
            <v>OJIB</v>
          </cell>
          <cell r="B1758" t="str">
            <v>Snack Oji -Oji / ISI 10</v>
          </cell>
          <cell r="C1758">
            <v>10</v>
          </cell>
          <cell r="D1758" t="str">
            <v>pc</v>
          </cell>
          <cell r="E1758">
            <v>8600</v>
          </cell>
          <cell r="F1758">
            <v>86000</v>
          </cell>
          <cell r="G1758">
            <v>860</v>
          </cell>
          <cell r="Q1758">
            <v>9000</v>
          </cell>
          <cell r="S1758" t="str">
            <v>pak</v>
          </cell>
        </row>
        <row r="1759">
          <cell r="A1759" t="str">
            <v>OJIK</v>
          </cell>
          <cell r="B1759" t="str">
            <v>Snack Oji -Oji ISI 20</v>
          </cell>
          <cell r="C1759">
            <v>20</v>
          </cell>
          <cell r="D1759" t="str">
            <v>pc</v>
          </cell>
          <cell r="E1759">
            <v>8375</v>
          </cell>
          <cell r="F1759">
            <v>67000</v>
          </cell>
          <cell r="G1759">
            <v>418.75</v>
          </cell>
          <cell r="Q1759">
            <v>9500</v>
          </cell>
          <cell r="S1759" t="str">
            <v>pak</v>
          </cell>
        </row>
        <row r="1760">
          <cell r="A1760" t="str">
            <v>ENASUKA</v>
          </cell>
          <cell r="B1760" t="str">
            <v>Snack OPAYO/ENASUKA/ASIK</v>
          </cell>
          <cell r="C1760">
            <v>20</v>
          </cell>
          <cell r="D1760" t="str">
            <v>dos</v>
          </cell>
          <cell r="E1760">
            <v>8375</v>
          </cell>
          <cell r="F1760">
            <v>67000</v>
          </cell>
          <cell r="G1760">
            <v>418.75</v>
          </cell>
          <cell r="Q1760">
            <v>9500</v>
          </cell>
          <cell r="R1760">
            <v>10</v>
          </cell>
          <cell r="S1760" t="str">
            <v>pak</v>
          </cell>
          <cell r="AA1760">
            <v>68000</v>
          </cell>
          <cell r="AB1760" t="str">
            <v>dos</v>
          </cell>
        </row>
        <row r="1761">
          <cell r="A1761" t="str">
            <v>OPTIMUS</v>
          </cell>
          <cell r="B1761" t="str">
            <v>Snack OPTIMUS /NASI GORENG</v>
          </cell>
          <cell r="C1761">
            <v>10</v>
          </cell>
          <cell r="D1761" t="str">
            <v>pcs</v>
          </cell>
          <cell r="E1761">
            <v>8300</v>
          </cell>
          <cell r="F1761">
            <v>83000</v>
          </cell>
          <cell r="G1761">
            <v>830</v>
          </cell>
          <cell r="Q1761">
            <v>9000</v>
          </cell>
          <cell r="R1761">
            <v>10</v>
          </cell>
          <cell r="S1761" t="str">
            <v>pak</v>
          </cell>
          <cell r="AA1761">
            <v>85000</v>
          </cell>
          <cell r="AB1761" t="str">
            <v>dos</v>
          </cell>
        </row>
        <row r="1762">
          <cell r="A1762" t="str">
            <v>CHOKYBAR</v>
          </cell>
          <cell r="B1762" t="str">
            <v>Coklat Choky Bar</v>
          </cell>
          <cell r="C1762">
            <v>12</v>
          </cell>
          <cell r="D1762" t="str">
            <v>pak</v>
          </cell>
          <cell r="E1762">
            <v>10125</v>
          </cell>
          <cell r="F1762">
            <v>81000</v>
          </cell>
          <cell r="G1762">
            <v>843.75</v>
          </cell>
          <cell r="AA1762">
            <v>83500</v>
          </cell>
          <cell r="AB1762" t="str">
            <v>dos</v>
          </cell>
        </row>
        <row r="1763">
          <cell r="A1763" t="str">
            <v>SILVERQB</v>
          </cell>
          <cell r="B1763" t="str">
            <v>Coklat SILVERQUEEN 60 gr BESAR</v>
          </cell>
          <cell r="C1763">
            <v>6</v>
          </cell>
          <cell r="D1763" t="str">
            <v>Pc</v>
          </cell>
          <cell r="E1763">
            <v>63800</v>
          </cell>
          <cell r="F1763">
            <v>2296800</v>
          </cell>
          <cell r="G1763">
            <v>10633.333333333334</v>
          </cell>
          <cell r="H1763">
            <v>14500</v>
          </cell>
          <cell r="I1763" t="str">
            <v>pc</v>
          </cell>
          <cell r="J1763">
            <v>14500</v>
          </cell>
          <cell r="K1763" t="str">
            <v>pc</v>
          </cell>
          <cell r="L1763">
            <v>14000</v>
          </cell>
          <cell r="M1763" t="str">
            <v>pc</v>
          </cell>
        </row>
        <row r="1764">
          <cell r="A1764" t="str">
            <v>SILVERQK</v>
          </cell>
          <cell r="B1764" t="str">
            <v>Coklat SILVERQUEEN 30 gr Kecil</v>
          </cell>
          <cell r="C1764">
            <v>10</v>
          </cell>
          <cell r="D1764" t="str">
            <v>Pc</v>
          </cell>
          <cell r="E1764">
            <v>64000</v>
          </cell>
          <cell r="G1764">
            <v>6400</v>
          </cell>
          <cell r="H1764">
            <v>10000</v>
          </cell>
          <cell r="I1764" t="str">
            <v>pc</v>
          </cell>
          <cell r="J1764">
            <v>9000</v>
          </cell>
          <cell r="K1764" t="str">
            <v>pc</v>
          </cell>
          <cell r="L1764">
            <v>9000</v>
          </cell>
          <cell r="M1764" t="str">
            <v>pc</v>
          </cell>
        </row>
        <row r="1765">
          <cell r="A1765" t="str">
            <v>CHUNKYK</v>
          </cell>
          <cell r="B1765" t="str">
            <v>Coklat CHUNKY BAR KECIL 33 gr</v>
          </cell>
          <cell r="C1765">
            <v>12</v>
          </cell>
          <cell r="D1765" t="str">
            <v>pc</v>
          </cell>
          <cell r="E1765">
            <v>81840</v>
          </cell>
          <cell r="F1765">
            <v>1309440</v>
          </cell>
          <cell r="G1765">
            <v>6820</v>
          </cell>
          <cell r="H1765">
            <v>9000</v>
          </cell>
          <cell r="I1765" t="str">
            <v>pc</v>
          </cell>
          <cell r="J1765">
            <v>9000</v>
          </cell>
          <cell r="K1765" t="str">
            <v>pc</v>
          </cell>
          <cell r="L1765">
            <v>8500</v>
          </cell>
          <cell r="M1765" t="str">
            <v>pc</v>
          </cell>
        </row>
        <row r="1766">
          <cell r="A1766" t="str">
            <v>CHUNKYB</v>
          </cell>
          <cell r="B1766" t="str">
            <v>Coklat CHUNKY BAR Besar 100 gr</v>
          </cell>
          <cell r="C1766">
            <v>24</v>
          </cell>
          <cell r="D1766" t="str">
            <v>pc</v>
          </cell>
          <cell r="E1766">
            <v>451176</v>
          </cell>
          <cell r="F1766">
            <v>1804704</v>
          </cell>
          <cell r="G1766">
            <v>18799</v>
          </cell>
          <cell r="H1766">
            <v>20000</v>
          </cell>
          <cell r="I1766" t="str">
            <v>pc</v>
          </cell>
          <cell r="J1766">
            <v>20000</v>
          </cell>
          <cell r="K1766" t="str">
            <v>pc</v>
          </cell>
          <cell r="L1766">
            <v>19500</v>
          </cell>
          <cell r="M1766" t="str">
            <v>pc</v>
          </cell>
        </row>
        <row r="1767">
          <cell r="A1767" t="str">
            <v>Diana</v>
          </cell>
          <cell r="B1767" t="str">
            <v>Coklat Batang 250 Gr</v>
          </cell>
          <cell r="C1767">
            <v>24</v>
          </cell>
          <cell r="D1767" t="str">
            <v>Pc</v>
          </cell>
          <cell r="E1767">
            <v>240000</v>
          </cell>
          <cell r="F1767">
            <v>120000</v>
          </cell>
          <cell r="G1767">
            <v>10000</v>
          </cell>
          <cell r="H1767">
            <v>11000</v>
          </cell>
          <cell r="I1767" t="str">
            <v>pc</v>
          </cell>
          <cell r="J1767">
            <v>11000</v>
          </cell>
          <cell r="K1767" t="str">
            <v>pc</v>
          </cell>
          <cell r="L1767">
            <v>10500</v>
          </cell>
          <cell r="M1767" t="str">
            <v>pc</v>
          </cell>
        </row>
        <row r="1768">
          <cell r="A1768" t="str">
            <v>OREOW</v>
          </cell>
          <cell r="B1768" t="str">
            <v xml:space="preserve">Snack Oreo Wafer 140 gr </v>
          </cell>
          <cell r="C1768">
            <v>3</v>
          </cell>
          <cell r="D1768" t="str">
            <v>pc</v>
          </cell>
          <cell r="E1768">
            <v>18252</v>
          </cell>
          <cell r="G1768">
            <v>6084</v>
          </cell>
          <cell r="H1768">
            <v>7000</v>
          </cell>
          <cell r="I1768" t="str">
            <v>pc</v>
          </cell>
          <cell r="J1768">
            <v>7000</v>
          </cell>
          <cell r="K1768" t="str">
            <v>pc</v>
          </cell>
          <cell r="L1768">
            <v>6500</v>
          </cell>
          <cell r="M1768" t="str">
            <v>pc</v>
          </cell>
        </row>
        <row r="1769">
          <cell r="A1769" t="str">
            <v>OREO23</v>
          </cell>
          <cell r="B1769" t="str">
            <v>Snack Oreo MINI 23 gr pak</v>
          </cell>
          <cell r="C1769">
            <v>10</v>
          </cell>
          <cell r="D1769" t="str">
            <v>pc</v>
          </cell>
          <cell r="E1769">
            <v>16182</v>
          </cell>
          <cell r="F1769">
            <v>98406</v>
          </cell>
          <cell r="G1769">
            <v>1618.2</v>
          </cell>
          <cell r="H1769">
            <v>2000</v>
          </cell>
          <cell r="I1769" t="str">
            <v>pc</v>
          </cell>
          <cell r="J1769">
            <v>2000</v>
          </cell>
          <cell r="K1769" t="str">
            <v>pc</v>
          </cell>
          <cell r="L1769">
            <v>2000</v>
          </cell>
          <cell r="M1769" t="str">
            <v>pc</v>
          </cell>
          <cell r="Q1769">
            <v>17500</v>
          </cell>
          <cell r="S1769" t="str">
            <v>pak</v>
          </cell>
        </row>
        <row r="1770">
          <cell r="A1770" t="str">
            <v>OREOM</v>
          </cell>
          <cell r="B1770" t="str">
            <v>Snack Oreo MINI</v>
          </cell>
          <cell r="C1770">
            <v>24</v>
          </cell>
          <cell r="D1770" t="str">
            <v>pc</v>
          </cell>
          <cell r="E1770">
            <v>147893</v>
          </cell>
          <cell r="F1770">
            <v>73946.5</v>
          </cell>
          <cell r="G1770">
            <v>6162.208333333333</v>
          </cell>
          <cell r="H1770">
            <v>7000</v>
          </cell>
          <cell r="I1770" t="str">
            <v>pc</v>
          </cell>
          <cell r="J1770">
            <v>6700</v>
          </cell>
          <cell r="K1770" t="str">
            <v>pc</v>
          </cell>
          <cell r="L1770">
            <v>6400</v>
          </cell>
          <cell r="M1770" t="str">
            <v>pc</v>
          </cell>
          <cell r="T1770">
            <v>76500</v>
          </cell>
          <cell r="U1770">
            <v>12</v>
          </cell>
          <cell r="V1770" t="str">
            <v>lsn</v>
          </cell>
          <cell r="W1770">
            <v>6300</v>
          </cell>
          <cell r="X1770" t="str">
            <v>pc</v>
          </cell>
          <cell r="Y1770">
            <v>6375</v>
          </cell>
          <cell r="Z1770" t="str">
            <v>pc</v>
          </cell>
          <cell r="AA1770">
            <v>182000</v>
          </cell>
          <cell r="AB1770" t="str">
            <v>dos</v>
          </cell>
        </row>
        <row r="1771">
          <cell r="A1771" t="str">
            <v>OREOB</v>
          </cell>
          <cell r="B1771" t="str">
            <v>Snack Oreo biskuit</v>
          </cell>
          <cell r="C1771">
            <v>12</v>
          </cell>
          <cell r="D1771" t="str">
            <v>pak</v>
          </cell>
          <cell r="E1771">
            <v>15312</v>
          </cell>
          <cell r="F1771">
            <v>183744</v>
          </cell>
          <cell r="G1771">
            <v>1276</v>
          </cell>
          <cell r="Q1771">
            <v>16500</v>
          </cell>
          <cell r="R1771">
            <v>12</v>
          </cell>
          <cell r="S1771" t="str">
            <v>pak</v>
          </cell>
          <cell r="AA1771">
            <v>182000</v>
          </cell>
          <cell r="AB1771" t="str">
            <v>dos</v>
          </cell>
        </row>
        <row r="1772">
          <cell r="A1772" t="str">
            <v>OREO97</v>
          </cell>
          <cell r="B1772" t="str">
            <v>Snack Oreo Roll 97 gr</v>
          </cell>
          <cell r="C1772">
            <v>4</v>
          </cell>
          <cell r="D1772" t="str">
            <v>pc</v>
          </cell>
          <cell r="E1772">
            <v>16403</v>
          </cell>
          <cell r="F1772">
            <v>49209</v>
          </cell>
          <cell r="G1772">
            <v>4100.75</v>
          </cell>
          <cell r="H1772">
            <v>6000</v>
          </cell>
          <cell r="I1772" t="str">
            <v>pc</v>
          </cell>
          <cell r="J1772">
            <v>5500</v>
          </cell>
          <cell r="K1772" t="str">
            <v>pc</v>
          </cell>
          <cell r="L1772">
            <v>5000</v>
          </cell>
          <cell r="M1772" t="str">
            <v>pc</v>
          </cell>
        </row>
        <row r="1773">
          <cell r="A1773" t="str">
            <v>OREO274</v>
          </cell>
          <cell r="B1773" t="str">
            <v>Snack Oreo Roll 274 gr</v>
          </cell>
          <cell r="C1773">
            <v>12</v>
          </cell>
          <cell r="D1773" t="str">
            <v>pak</v>
          </cell>
          <cell r="E1773">
            <v>142798</v>
          </cell>
          <cell r="G1773">
            <v>11899.833333333334</v>
          </cell>
          <cell r="H1773">
            <v>13000</v>
          </cell>
          <cell r="I1773" t="str">
            <v>pc</v>
          </cell>
          <cell r="J1773">
            <v>13500</v>
          </cell>
          <cell r="K1773" t="str">
            <v>pc</v>
          </cell>
          <cell r="L1773">
            <v>13000</v>
          </cell>
          <cell r="M1773" t="str">
            <v>pc</v>
          </cell>
        </row>
        <row r="1774">
          <cell r="A1774" t="str">
            <v>OREO66</v>
          </cell>
          <cell r="B1774" t="str">
            <v>Snack Oreo Roll 66,5 gr</v>
          </cell>
          <cell r="C1774">
            <v>3</v>
          </cell>
          <cell r="D1774" t="str">
            <v>pak</v>
          </cell>
          <cell r="E1774">
            <v>9841</v>
          </cell>
          <cell r="F1774">
            <v>39364</v>
          </cell>
          <cell r="G1774">
            <v>3280.3333333333335</v>
          </cell>
          <cell r="H1774">
            <v>4500</v>
          </cell>
          <cell r="I1774" t="str">
            <v>pc</v>
          </cell>
          <cell r="J1774">
            <v>4500</v>
          </cell>
          <cell r="K1774" t="str">
            <v>pc</v>
          </cell>
          <cell r="L1774">
            <v>4000</v>
          </cell>
          <cell r="M1774" t="str">
            <v>pc</v>
          </cell>
          <cell r="T1774">
            <v>42000</v>
          </cell>
          <cell r="U1774">
            <v>12</v>
          </cell>
          <cell r="V1774" t="str">
            <v>lsn</v>
          </cell>
          <cell r="W1774">
            <v>3400</v>
          </cell>
          <cell r="X1774" t="str">
            <v>pc</v>
          </cell>
          <cell r="Y1774">
            <v>3500</v>
          </cell>
          <cell r="Z1774" t="str">
            <v>pc</v>
          </cell>
        </row>
        <row r="1775">
          <cell r="A1775" t="str">
            <v>OREO133</v>
          </cell>
          <cell r="B1775" t="str">
            <v>Snack Oreo Roll 133 gr</v>
          </cell>
          <cell r="C1775">
            <v>2</v>
          </cell>
          <cell r="D1775" t="str">
            <v>pak</v>
          </cell>
          <cell r="E1775">
            <v>12048</v>
          </cell>
          <cell r="F1775">
            <v>72288</v>
          </cell>
          <cell r="G1775">
            <v>6024</v>
          </cell>
          <cell r="H1775">
            <v>7000</v>
          </cell>
          <cell r="I1775" t="str">
            <v>pc</v>
          </cell>
          <cell r="J1775">
            <v>7000</v>
          </cell>
          <cell r="K1775" t="str">
            <v>pc</v>
          </cell>
          <cell r="L1775">
            <v>6500</v>
          </cell>
          <cell r="M1775" t="str">
            <v>pc</v>
          </cell>
        </row>
        <row r="1776">
          <cell r="A1776" t="str">
            <v>OREOS</v>
          </cell>
          <cell r="B1776" t="str">
            <v>Snack Oreo Soft Cake 16 gr</v>
          </cell>
          <cell r="C1776">
            <v>12</v>
          </cell>
          <cell r="D1776" t="str">
            <v>pak</v>
          </cell>
          <cell r="E1776">
            <v>236174</v>
          </cell>
          <cell r="G1776">
            <v>19681.166666666668</v>
          </cell>
          <cell r="Q1776">
            <v>21000</v>
          </cell>
          <cell r="R1776">
            <v>12</v>
          </cell>
          <cell r="S1776" t="str">
            <v>pak</v>
          </cell>
          <cell r="AA1776">
            <v>188000</v>
          </cell>
          <cell r="AB1776" t="str">
            <v>dos</v>
          </cell>
        </row>
        <row r="1777">
          <cell r="A1777" t="str">
            <v>OLEZZP</v>
          </cell>
          <cell r="B1777" t="str">
            <v xml:space="preserve">Snack OLEZZ  isi 10 </v>
          </cell>
          <cell r="C1777">
            <v>10</v>
          </cell>
          <cell r="D1777" t="str">
            <v>pak</v>
          </cell>
          <cell r="E1777">
            <v>8666.6666666666661</v>
          </cell>
          <cell r="F1777">
            <v>52000</v>
          </cell>
          <cell r="G1777">
            <v>866.66666666666663</v>
          </cell>
          <cell r="Q1777">
            <v>9500</v>
          </cell>
          <cell r="S1777" t="str">
            <v>pak</v>
          </cell>
        </row>
        <row r="1778">
          <cell r="A1778" t="str">
            <v>RICHBOLL</v>
          </cell>
          <cell r="B1778" t="str">
            <v>Snack RICHBOLL</v>
          </cell>
          <cell r="C1778">
            <v>10</v>
          </cell>
          <cell r="D1778" t="str">
            <v>rtg</v>
          </cell>
          <cell r="E1778">
            <v>4083.3333333333335</v>
          </cell>
          <cell r="F1778">
            <v>49000</v>
          </cell>
          <cell r="G1778">
            <v>408.33333333333337</v>
          </cell>
          <cell r="N1778">
            <v>5000</v>
          </cell>
          <cell r="O1778" t="str">
            <v>rtg</v>
          </cell>
        </row>
        <row r="1779">
          <cell r="A1779" t="str">
            <v>PANGPANGK</v>
          </cell>
          <cell r="B1779" t="str">
            <v>Snack PANG - PANG KOREA KILO</v>
          </cell>
          <cell r="C1779">
            <v>3.7</v>
          </cell>
          <cell r="D1779" t="str">
            <v>KG</v>
          </cell>
          <cell r="E1779">
            <v>78000</v>
          </cell>
          <cell r="G1779">
            <v>21081.08108108108</v>
          </cell>
          <cell r="H1779">
            <v>12500</v>
          </cell>
          <cell r="I1779" t="str">
            <v>kg</v>
          </cell>
          <cell r="J1779">
            <v>12500</v>
          </cell>
          <cell r="AA1779">
            <v>58500</v>
          </cell>
          <cell r="AB1779" t="str">
            <v>dos</v>
          </cell>
        </row>
        <row r="1780">
          <cell r="A1780" t="str">
            <v>PANGPANGP</v>
          </cell>
          <cell r="B1780" t="str">
            <v>Snack PANG - PANG/BAGONG</v>
          </cell>
          <cell r="C1780">
            <v>20</v>
          </cell>
          <cell r="D1780" t="str">
            <v>pak</v>
          </cell>
          <cell r="E1780">
            <v>8375</v>
          </cell>
          <cell r="F1780">
            <v>67000</v>
          </cell>
          <cell r="G1780">
            <v>418.75</v>
          </cell>
          <cell r="Q1780">
            <v>9500</v>
          </cell>
          <cell r="S1780" t="str">
            <v>pak</v>
          </cell>
          <cell r="AA1780">
            <v>58500</v>
          </cell>
          <cell r="AB1780" t="str">
            <v>dos</v>
          </cell>
        </row>
        <row r="1781">
          <cell r="A1781" t="str">
            <v>PEANUT</v>
          </cell>
          <cell r="B1781" t="str">
            <v>Snack Peanut Cookis Bungkus</v>
          </cell>
          <cell r="C1781">
            <v>20</v>
          </cell>
          <cell r="D1781" t="str">
            <v>pak</v>
          </cell>
          <cell r="E1781">
            <v>8416.6666666666661</v>
          </cell>
          <cell r="F1781">
            <v>50500</v>
          </cell>
          <cell r="G1781">
            <v>420.83333333333331</v>
          </cell>
          <cell r="Q1781">
            <v>9500</v>
          </cell>
          <cell r="R1781">
            <v>20</v>
          </cell>
          <cell r="S1781" t="str">
            <v>pak</v>
          </cell>
          <cell r="AA1781">
            <v>54000</v>
          </cell>
          <cell r="AB1781" t="str">
            <v>dos</v>
          </cell>
        </row>
        <row r="1782">
          <cell r="A1782" t="str">
            <v>HADISA</v>
          </cell>
          <cell r="B1782" t="str">
            <v>Snack HADISA Peanut Cookis Bungkus</v>
          </cell>
          <cell r="C1782">
            <v>10</v>
          </cell>
          <cell r="D1782" t="str">
            <v>pak</v>
          </cell>
          <cell r="E1782">
            <v>4083.3333333333335</v>
          </cell>
          <cell r="F1782">
            <v>49000</v>
          </cell>
          <cell r="G1782">
            <v>408.33333333333337</v>
          </cell>
          <cell r="Q1782">
            <v>5000</v>
          </cell>
          <cell r="R1782">
            <v>20</v>
          </cell>
          <cell r="S1782" t="str">
            <v>pak</v>
          </cell>
          <cell r="AA1782">
            <v>54000</v>
          </cell>
          <cell r="AB1782" t="str">
            <v>dos</v>
          </cell>
        </row>
        <row r="1783">
          <cell r="A1783" t="str">
            <v>PEGGO</v>
          </cell>
          <cell r="B1783" t="str">
            <v>Snack PEGGO BANTAL</v>
          </cell>
          <cell r="C1783">
            <v>10</v>
          </cell>
          <cell r="D1783" t="str">
            <v>pak</v>
          </cell>
          <cell r="E1783">
            <v>8083.333333333333</v>
          </cell>
          <cell r="F1783">
            <v>48500</v>
          </cell>
          <cell r="G1783">
            <v>808.33333333333326</v>
          </cell>
          <cell r="Q1783">
            <v>9000</v>
          </cell>
          <cell r="R1783">
            <v>10</v>
          </cell>
          <cell r="S1783" t="str">
            <v>pak</v>
          </cell>
          <cell r="AA1783">
            <v>51000</v>
          </cell>
          <cell r="AB1783" t="str">
            <v>dos</v>
          </cell>
        </row>
        <row r="1784">
          <cell r="A1784" t="str">
            <v>YAKI</v>
          </cell>
          <cell r="B1784" t="str">
            <v>Snack Pia Yaki</v>
          </cell>
          <cell r="C1784">
            <v>10</v>
          </cell>
          <cell r="D1784" t="str">
            <v>pak</v>
          </cell>
          <cell r="E1784">
            <v>4200</v>
          </cell>
          <cell r="F1784">
            <v>42000</v>
          </cell>
          <cell r="G1784">
            <v>420</v>
          </cell>
          <cell r="Q1784">
            <v>5000</v>
          </cell>
          <cell r="R1784">
            <v>10</v>
          </cell>
          <cell r="S1784" t="str">
            <v>pak</v>
          </cell>
          <cell r="AA1784">
            <v>45000</v>
          </cell>
          <cell r="AB1784" t="str">
            <v>dos</v>
          </cell>
        </row>
        <row r="1785">
          <cell r="A1785" t="str">
            <v>PILUS22</v>
          </cell>
          <cell r="B1785" t="str">
            <v>Snack Pilus Garuda 22 gr</v>
          </cell>
          <cell r="C1785">
            <v>20</v>
          </cell>
          <cell r="D1785" t="str">
            <v>pak</v>
          </cell>
          <cell r="E1785">
            <v>9324.2000000000007</v>
          </cell>
          <cell r="F1785">
            <v>46621</v>
          </cell>
          <cell r="G1785">
            <v>466.21000000000004</v>
          </cell>
          <cell r="H1785">
            <v>1000</v>
          </cell>
          <cell r="I1785" t="str">
            <v>pc</v>
          </cell>
          <cell r="J1785">
            <v>1000</v>
          </cell>
          <cell r="K1785" t="str">
            <v>pc</v>
          </cell>
          <cell r="L1785">
            <v>1000</v>
          </cell>
          <cell r="M1785" t="str">
            <v>pc</v>
          </cell>
          <cell r="Q1785">
            <v>10500</v>
          </cell>
          <cell r="R1785">
            <v>20</v>
          </cell>
          <cell r="S1785" t="str">
            <v>pak</v>
          </cell>
        </row>
        <row r="1786">
          <cell r="A1786" t="str">
            <v>PILUSK</v>
          </cell>
          <cell r="B1786" t="str">
            <v>Snack Pilus Garuda 9 gr</v>
          </cell>
          <cell r="C1786">
            <v>20</v>
          </cell>
          <cell r="D1786" t="str">
            <v>pak</v>
          </cell>
          <cell r="E1786">
            <v>8097.166666666667</v>
          </cell>
          <cell r="F1786">
            <v>48583</v>
          </cell>
          <cell r="G1786">
            <v>404.85833333333335</v>
          </cell>
          <cell r="Q1786">
            <v>9500</v>
          </cell>
          <cell r="R1786">
            <v>20</v>
          </cell>
          <cell r="S1786" t="str">
            <v>pak</v>
          </cell>
          <cell r="AA1786">
            <v>50000</v>
          </cell>
          <cell r="AB1786" t="str">
            <v>bal</v>
          </cell>
        </row>
        <row r="1787">
          <cell r="A1787" t="str">
            <v>PILUS95</v>
          </cell>
          <cell r="B1787" t="str">
            <v>Snack Pilus Garuda 95 gr</v>
          </cell>
          <cell r="C1787">
            <v>10</v>
          </cell>
          <cell r="D1787" t="str">
            <v>pak</v>
          </cell>
          <cell r="E1787">
            <v>34268.300000000003</v>
          </cell>
          <cell r="F1787">
            <v>171341.5</v>
          </cell>
          <cell r="G1787">
            <v>3426.8300000000004</v>
          </cell>
        </row>
        <row r="1788">
          <cell r="A1788" t="str">
            <v>PINBAL</v>
          </cell>
          <cell r="B1788" t="str">
            <v>Snack Pinbal</v>
          </cell>
          <cell r="C1788">
            <v>20</v>
          </cell>
          <cell r="D1788" t="str">
            <v>pak</v>
          </cell>
          <cell r="E1788">
            <v>8666.6666666666661</v>
          </cell>
          <cell r="F1788">
            <v>52000</v>
          </cell>
          <cell r="G1788">
            <v>433.33333333333331</v>
          </cell>
          <cell r="Q1788">
            <v>9500</v>
          </cell>
          <cell r="R1788">
            <v>20</v>
          </cell>
          <cell r="S1788" t="str">
            <v>pak</v>
          </cell>
          <cell r="W1788">
            <v>5000</v>
          </cell>
          <cell r="X1788">
            <v>0</v>
          </cell>
          <cell r="AA1788">
            <v>54000</v>
          </cell>
          <cell r="AB1788" t="str">
            <v>dos</v>
          </cell>
        </row>
        <row r="1789">
          <cell r="A1789" t="str">
            <v>POPSTARP</v>
          </cell>
          <cell r="B1789" t="str">
            <v>Snack POP STAR</v>
          </cell>
          <cell r="C1789">
            <v>100</v>
          </cell>
          <cell r="D1789" t="str">
            <v>pak</v>
          </cell>
          <cell r="E1789">
            <v>21375</v>
          </cell>
          <cell r="F1789">
            <v>171000</v>
          </cell>
          <cell r="G1789">
            <v>213.75</v>
          </cell>
          <cell r="Q1789">
            <v>23500</v>
          </cell>
          <cell r="S1789" t="str">
            <v>pak</v>
          </cell>
          <cell r="AA1789">
            <v>141000</v>
          </cell>
          <cell r="AB1789" t="str">
            <v>dos</v>
          </cell>
        </row>
        <row r="1790">
          <cell r="A1790" t="str">
            <v>PMILK</v>
          </cell>
          <cell r="B1790" t="str">
            <v>Snack PUSAN MILK</v>
          </cell>
          <cell r="C1790">
            <v>20</v>
          </cell>
          <cell r="D1790" t="str">
            <v>pak</v>
          </cell>
          <cell r="E1790">
            <v>7750</v>
          </cell>
          <cell r="F1790">
            <v>93000</v>
          </cell>
          <cell r="G1790">
            <v>387.5</v>
          </cell>
          <cell r="Q1790">
            <v>8500</v>
          </cell>
          <cell r="R1790">
            <v>20</v>
          </cell>
          <cell r="S1790" t="str">
            <v>pak</v>
          </cell>
          <cell r="AA1790">
            <v>96000</v>
          </cell>
          <cell r="AB1790" t="str">
            <v>dos</v>
          </cell>
        </row>
        <row r="1791">
          <cell r="A1791" t="str">
            <v>RAMENE</v>
          </cell>
          <cell r="B1791" t="str">
            <v>Snack RAMENE</v>
          </cell>
          <cell r="C1791">
            <v>20</v>
          </cell>
          <cell r="D1791" t="str">
            <v>pak</v>
          </cell>
          <cell r="E1791">
            <v>8250</v>
          </cell>
          <cell r="F1791">
            <v>49500</v>
          </cell>
          <cell r="G1791">
            <v>412.5</v>
          </cell>
          <cell r="Q1791">
            <v>9500</v>
          </cell>
          <cell r="R1791">
            <v>20</v>
          </cell>
          <cell r="S1791" t="str">
            <v>pak</v>
          </cell>
          <cell r="AA1791">
            <v>52000</v>
          </cell>
          <cell r="AB1791" t="str">
            <v>dos</v>
          </cell>
        </row>
        <row r="1792">
          <cell r="A1792" t="str">
            <v>REALB</v>
          </cell>
          <cell r="B1792" t="str">
            <v>Snack Real Good Besar</v>
          </cell>
          <cell r="C1792">
            <v>36</v>
          </cell>
          <cell r="D1792" t="str">
            <v>pcs</v>
          </cell>
          <cell r="E1792">
            <v>65000</v>
          </cell>
          <cell r="F1792">
            <v>21666.666666666668</v>
          </cell>
          <cell r="G1792">
            <v>1805.5555555555557</v>
          </cell>
        </row>
        <row r="1793">
          <cell r="A1793" t="str">
            <v>REALK</v>
          </cell>
          <cell r="B1793" t="str">
            <v>Snack Real Good Kecil</v>
          </cell>
          <cell r="C1793">
            <v>48</v>
          </cell>
          <cell r="D1793" t="str">
            <v>pcs</v>
          </cell>
          <cell r="E1793">
            <v>42500</v>
          </cell>
          <cell r="F1793">
            <v>10625</v>
          </cell>
          <cell r="G1793">
            <v>885.41666666666663</v>
          </cell>
        </row>
        <row r="1794">
          <cell r="A1794" t="str">
            <v>AHHJ</v>
          </cell>
          <cell r="B1794" t="str">
            <v>Snack Ricess Ahh Jumbo</v>
          </cell>
          <cell r="C1794">
            <v>10</v>
          </cell>
          <cell r="D1794" t="str">
            <v>pak</v>
          </cell>
          <cell r="E1794">
            <v>7600</v>
          </cell>
          <cell r="F1794">
            <v>91200</v>
          </cell>
          <cell r="G1794">
            <v>760</v>
          </cell>
          <cell r="Q1794">
            <v>8500</v>
          </cell>
          <cell r="R1794">
            <v>10</v>
          </cell>
          <cell r="S1794" t="str">
            <v>pak</v>
          </cell>
        </row>
        <row r="1795">
          <cell r="A1795" t="str">
            <v>AHHT</v>
          </cell>
          <cell r="B1795" t="str">
            <v>Snack Ricess Ahh Tanggung 28 gr</v>
          </cell>
          <cell r="C1795">
            <v>5</v>
          </cell>
          <cell r="D1795" t="str">
            <v>pak</v>
          </cell>
          <cell r="E1795">
            <v>7900.125</v>
          </cell>
          <cell r="F1795">
            <v>63201</v>
          </cell>
          <cell r="G1795">
            <v>1580.0250000000001</v>
          </cell>
          <cell r="H1795">
            <v>2000</v>
          </cell>
          <cell r="I1795" t="str">
            <v>pc</v>
          </cell>
          <cell r="J1795">
            <v>2000</v>
          </cell>
          <cell r="K1795" t="str">
            <v>pc</v>
          </cell>
          <cell r="L1795">
            <v>1800</v>
          </cell>
          <cell r="M1795" t="str">
            <v>pc</v>
          </cell>
          <cell r="Q1795">
            <v>9000</v>
          </cell>
          <cell r="R1795">
            <v>5</v>
          </cell>
          <cell r="S1795" t="str">
            <v>pak</v>
          </cell>
        </row>
        <row r="1796">
          <cell r="A1796" t="str">
            <v>AHHK</v>
          </cell>
          <cell r="B1796" t="str">
            <v>Snack Ricess Ahh/Roll/Ricoco/Nissin K/Zuper</v>
          </cell>
          <cell r="C1796">
            <v>20</v>
          </cell>
          <cell r="D1796" t="str">
            <v>pak</v>
          </cell>
          <cell r="E1796">
            <v>8000</v>
          </cell>
          <cell r="F1796">
            <v>80000</v>
          </cell>
          <cell r="G1796">
            <v>400</v>
          </cell>
          <cell r="H1796">
            <v>500</v>
          </cell>
          <cell r="J1796">
            <v>500</v>
          </cell>
          <cell r="L1796">
            <v>500</v>
          </cell>
          <cell r="Q1796">
            <v>9000</v>
          </cell>
          <cell r="R1796">
            <v>20</v>
          </cell>
          <cell r="S1796" t="str">
            <v>pak</v>
          </cell>
          <cell r="AA1796">
            <v>86500</v>
          </cell>
          <cell r="AB1796" t="str">
            <v>dos</v>
          </cell>
        </row>
        <row r="1797">
          <cell r="A1797" t="str">
            <v>RINGK</v>
          </cell>
          <cell r="B1797" t="str">
            <v>Snack Ring</v>
          </cell>
          <cell r="C1797">
            <v>20</v>
          </cell>
          <cell r="D1797" t="str">
            <v>pak</v>
          </cell>
          <cell r="E1797">
            <v>17666.666666666668</v>
          </cell>
          <cell r="F1797">
            <v>53000</v>
          </cell>
          <cell r="G1797">
            <v>883.33333333333337</v>
          </cell>
          <cell r="Q1797">
            <v>18500</v>
          </cell>
          <cell r="R1797">
            <v>20</v>
          </cell>
          <cell r="S1797" t="str">
            <v>pak</v>
          </cell>
          <cell r="AA1797">
            <v>55000</v>
          </cell>
          <cell r="AB1797" t="str">
            <v>dos</v>
          </cell>
        </row>
        <row r="1798">
          <cell r="A1798" t="str">
            <v>RINGB</v>
          </cell>
          <cell r="B1798" t="str">
            <v>Snack Ring</v>
          </cell>
          <cell r="C1798">
            <v>24</v>
          </cell>
          <cell r="D1798" t="str">
            <v>pak</v>
          </cell>
          <cell r="E1798">
            <v>90000</v>
          </cell>
          <cell r="F1798">
            <v>45000</v>
          </cell>
          <cell r="G1798">
            <v>3750</v>
          </cell>
          <cell r="H1798">
            <v>5000</v>
          </cell>
          <cell r="I1798" t="str">
            <v>pc</v>
          </cell>
          <cell r="J1798">
            <v>4500</v>
          </cell>
          <cell r="K1798" t="str">
            <v>pc</v>
          </cell>
          <cell r="L1798">
            <v>4000</v>
          </cell>
          <cell r="M1798" t="str">
            <v>pc</v>
          </cell>
          <cell r="T1798">
            <v>47500</v>
          </cell>
          <cell r="U1798">
            <v>12</v>
          </cell>
          <cell r="V1798" t="str">
            <v>lsn</v>
          </cell>
          <cell r="W1798">
            <v>3900</v>
          </cell>
          <cell r="Y1798">
            <v>3958.3333333333335</v>
          </cell>
          <cell r="Z1798" t="str">
            <v>pc</v>
          </cell>
          <cell r="AA1798">
            <v>93000</v>
          </cell>
          <cell r="AB1798" t="str">
            <v>dos</v>
          </cell>
        </row>
        <row r="1799">
          <cell r="A1799" t="str">
            <v>RINGMANIA</v>
          </cell>
          <cell r="B1799" t="str">
            <v>Snack RING MANIA/BAIN &amp; FRIEND</v>
          </cell>
          <cell r="C1799">
            <v>20</v>
          </cell>
          <cell r="D1799" t="str">
            <v>pak</v>
          </cell>
          <cell r="E1799">
            <v>8800</v>
          </cell>
          <cell r="F1799">
            <v>44000</v>
          </cell>
          <cell r="G1799">
            <v>440</v>
          </cell>
          <cell r="Q1799">
            <v>9500</v>
          </cell>
          <cell r="R1799">
            <v>20</v>
          </cell>
          <cell r="S1799" t="str">
            <v>pak</v>
          </cell>
          <cell r="AA1799">
            <v>47000</v>
          </cell>
          <cell r="AB1799" t="str">
            <v>dos</v>
          </cell>
        </row>
        <row r="1800">
          <cell r="A1800" t="str">
            <v>RIZKYROLL</v>
          </cell>
          <cell r="B1800" t="str">
            <v>Snack RIZKY ROLL/ DELICIUS tempat</v>
          </cell>
          <cell r="C1800">
            <v>42</v>
          </cell>
          <cell r="D1800" t="str">
            <v>pak</v>
          </cell>
          <cell r="E1800">
            <v>18000</v>
          </cell>
          <cell r="F1800">
            <v>72000</v>
          </cell>
          <cell r="G1800">
            <v>428.57142857142856</v>
          </cell>
          <cell r="Q1800">
            <v>19500</v>
          </cell>
          <cell r="R1800">
            <v>42</v>
          </cell>
          <cell r="S1800" t="str">
            <v>pak</v>
          </cell>
          <cell r="AA1800">
            <v>62500</v>
          </cell>
          <cell r="AB1800" t="str">
            <v>dos</v>
          </cell>
        </row>
        <row r="1801">
          <cell r="A1801" t="str">
            <v>ROKER</v>
          </cell>
          <cell r="B1801" t="str">
            <v>Snack Roker</v>
          </cell>
          <cell r="C1801">
            <v>20</v>
          </cell>
          <cell r="D1801" t="str">
            <v>rtg</v>
          </cell>
          <cell r="E1801">
            <v>8000</v>
          </cell>
          <cell r="F1801">
            <v>48000</v>
          </cell>
          <cell r="G1801">
            <v>400</v>
          </cell>
          <cell r="Q1801">
            <v>9000</v>
          </cell>
          <cell r="R1801">
            <v>20</v>
          </cell>
          <cell r="S1801" t="str">
            <v>pak</v>
          </cell>
          <cell r="AA1801">
            <v>50000</v>
          </cell>
          <cell r="AB1801" t="str">
            <v>dos</v>
          </cell>
        </row>
        <row r="1802">
          <cell r="A1802" t="str">
            <v>ROMY</v>
          </cell>
          <cell r="B1802" t="str">
            <v>Snack Romy Craker Stik</v>
          </cell>
          <cell r="C1802">
            <v>10</v>
          </cell>
          <cell r="D1802" t="str">
            <v>pak</v>
          </cell>
          <cell r="E1802">
            <v>7800</v>
          </cell>
          <cell r="F1802">
            <v>78000</v>
          </cell>
          <cell r="G1802">
            <v>780</v>
          </cell>
          <cell r="H1802">
            <v>1000</v>
          </cell>
          <cell r="I1802" t="str">
            <v>pc</v>
          </cell>
          <cell r="J1802">
            <v>1000</v>
          </cell>
          <cell r="K1802" t="str">
            <v>pc</v>
          </cell>
          <cell r="L1802">
            <v>1000</v>
          </cell>
          <cell r="M1802" t="str">
            <v>pc</v>
          </cell>
          <cell r="Q1802">
            <v>8500</v>
          </cell>
          <cell r="R1802">
            <v>10</v>
          </cell>
          <cell r="S1802" t="str">
            <v>pak</v>
          </cell>
          <cell r="AA1802">
            <v>81000</v>
          </cell>
          <cell r="AB1802" t="str">
            <v>dos</v>
          </cell>
        </row>
        <row r="1803">
          <cell r="A1803" t="str">
            <v>ROTIABON</v>
          </cell>
          <cell r="B1803" t="str">
            <v>Snack Roti Abon</v>
          </cell>
          <cell r="C1803">
            <v>20</v>
          </cell>
          <cell r="D1803" t="str">
            <v>pak</v>
          </cell>
          <cell r="E1803">
            <v>8000</v>
          </cell>
          <cell r="F1803">
            <v>48000</v>
          </cell>
          <cell r="G1803">
            <v>400</v>
          </cell>
          <cell r="Q1803">
            <v>8500</v>
          </cell>
          <cell r="R1803">
            <v>20</v>
          </cell>
          <cell r="S1803" t="str">
            <v>pak</v>
          </cell>
          <cell r="AA1803">
            <v>50000</v>
          </cell>
          <cell r="AB1803" t="str">
            <v>dos</v>
          </cell>
        </row>
        <row r="1804">
          <cell r="A1804" t="str">
            <v>ROTIDONAT</v>
          </cell>
          <cell r="B1804" t="str">
            <v>Snack Roti Donat</v>
          </cell>
          <cell r="C1804">
            <v>20</v>
          </cell>
          <cell r="D1804" t="str">
            <v>pak</v>
          </cell>
          <cell r="E1804">
            <v>8083.333333333333</v>
          </cell>
          <cell r="F1804">
            <v>48500</v>
          </cell>
          <cell r="G1804">
            <v>404.16666666666663</v>
          </cell>
          <cell r="Q1804">
            <v>9500</v>
          </cell>
          <cell r="R1804">
            <v>20</v>
          </cell>
          <cell r="S1804" t="str">
            <v>pak</v>
          </cell>
          <cell r="AA1804">
            <v>50000</v>
          </cell>
          <cell r="AB1804" t="str">
            <v>dos</v>
          </cell>
        </row>
        <row r="1805">
          <cell r="A1805" t="str">
            <v>SAGU3</v>
          </cell>
          <cell r="B1805" t="str">
            <v>Snack Sagu Keju ISI 3</v>
          </cell>
          <cell r="C1805">
            <v>3</v>
          </cell>
          <cell r="D1805" t="str">
            <v>pcs</v>
          </cell>
          <cell r="E1805">
            <v>37700</v>
          </cell>
          <cell r="F1805">
            <v>188500</v>
          </cell>
          <cell r="G1805">
            <v>12566.666666666666</v>
          </cell>
          <cell r="H1805">
            <v>15000</v>
          </cell>
          <cell r="I1805" t="str">
            <v>pc</v>
          </cell>
          <cell r="Q1805">
            <v>42000</v>
          </cell>
          <cell r="R1805">
            <v>3</v>
          </cell>
          <cell r="S1805" t="str">
            <v>pak</v>
          </cell>
          <cell r="AA1805">
            <v>192000</v>
          </cell>
          <cell r="AB1805" t="str">
            <v>dos</v>
          </cell>
        </row>
        <row r="1806">
          <cell r="A1806" t="str">
            <v>SAGUP</v>
          </cell>
          <cell r="B1806" t="str">
            <v>Snack Sagu Keju Pak</v>
          </cell>
          <cell r="C1806">
            <v>20</v>
          </cell>
          <cell r="D1806" t="str">
            <v>pcs</v>
          </cell>
          <cell r="E1806">
            <v>8333.3333333333339</v>
          </cell>
          <cell r="F1806">
            <v>50000</v>
          </cell>
          <cell r="G1806">
            <v>416.66666666666669</v>
          </cell>
          <cell r="Q1806">
            <v>9500</v>
          </cell>
          <cell r="R1806">
            <v>20</v>
          </cell>
          <cell r="S1806" t="str">
            <v>pak</v>
          </cell>
          <cell r="AA1806">
            <v>52000</v>
          </cell>
          <cell r="AB1806" t="str">
            <v>dos</v>
          </cell>
        </row>
        <row r="1807">
          <cell r="A1807" t="str">
            <v>SELIMUT</v>
          </cell>
          <cell r="B1807" t="str">
            <v>Snack Selimut</v>
          </cell>
          <cell r="C1807">
            <v>20</v>
          </cell>
          <cell r="D1807" t="str">
            <v>pak</v>
          </cell>
          <cell r="E1807">
            <v>8000</v>
          </cell>
          <cell r="F1807">
            <v>80000</v>
          </cell>
          <cell r="G1807">
            <v>400</v>
          </cell>
          <cell r="Q1807">
            <v>9000</v>
          </cell>
          <cell r="R1807">
            <v>20</v>
          </cell>
          <cell r="S1807" t="str">
            <v>pak</v>
          </cell>
        </row>
        <row r="1808">
          <cell r="A1808" t="str">
            <v>BISVIT</v>
          </cell>
          <cell r="B1808" t="str">
            <v>Snack BISVIT</v>
          </cell>
          <cell r="C1808">
            <v>10</v>
          </cell>
          <cell r="D1808" t="str">
            <v>pak</v>
          </cell>
          <cell r="E1808">
            <v>16000</v>
          </cell>
          <cell r="F1808">
            <v>128000</v>
          </cell>
          <cell r="G1808">
            <v>1600</v>
          </cell>
          <cell r="H1808">
            <v>2000</v>
          </cell>
          <cell r="I1808" t="str">
            <v>pc</v>
          </cell>
          <cell r="Q1808">
            <v>18000</v>
          </cell>
          <cell r="R1808">
            <v>10</v>
          </cell>
          <cell r="S1808" t="str">
            <v>pak</v>
          </cell>
        </row>
        <row r="1809">
          <cell r="A1809" t="str">
            <v>DELIS</v>
          </cell>
          <cell r="B1809" t="str">
            <v>Snack DELIS</v>
          </cell>
          <cell r="C1809">
            <v>20</v>
          </cell>
          <cell r="D1809" t="str">
            <v>pak</v>
          </cell>
          <cell r="E1809">
            <v>8200</v>
          </cell>
          <cell r="F1809">
            <v>49200</v>
          </cell>
          <cell r="G1809">
            <v>410</v>
          </cell>
          <cell r="Q1809">
            <v>9500</v>
          </cell>
          <cell r="R1809">
            <v>20</v>
          </cell>
          <cell r="S1809" t="str">
            <v>pak</v>
          </cell>
          <cell r="AA1809">
            <v>53000</v>
          </cell>
          <cell r="AB1809" t="str">
            <v>dos</v>
          </cell>
        </row>
        <row r="1810">
          <cell r="A1810" t="str">
            <v>SELIMUT50</v>
          </cell>
          <cell r="B1810" t="str">
            <v>Snack Selimut 50 Gr</v>
          </cell>
          <cell r="C1810">
            <v>60</v>
          </cell>
          <cell r="D1810" t="str">
            <v>Dos</v>
          </cell>
          <cell r="E1810">
            <v>94800</v>
          </cell>
          <cell r="F1810">
            <v>18960</v>
          </cell>
          <cell r="G1810">
            <v>1580</v>
          </cell>
          <cell r="H1810">
            <v>2000</v>
          </cell>
          <cell r="I1810" t="str">
            <v>Bks</v>
          </cell>
          <cell r="J1810">
            <v>2000</v>
          </cell>
          <cell r="K1810" t="str">
            <v>Bks</v>
          </cell>
          <cell r="L1810">
            <v>1950</v>
          </cell>
          <cell r="M1810" t="str">
            <v>Bks</v>
          </cell>
          <cell r="T1810">
            <v>22000</v>
          </cell>
          <cell r="U1810">
            <v>12</v>
          </cell>
          <cell r="V1810" t="str">
            <v>lsn</v>
          </cell>
          <cell r="Y1810">
            <v>1833.3333333333333</v>
          </cell>
          <cell r="Z1810" t="str">
            <v>Bks</v>
          </cell>
        </row>
        <row r="1811">
          <cell r="A1811" t="str">
            <v>BOLAng</v>
          </cell>
          <cell r="B1811" t="str">
            <v>Snack Si Bolang</v>
          </cell>
          <cell r="C1811">
            <v>20</v>
          </cell>
          <cell r="D1811" t="str">
            <v>pak</v>
          </cell>
          <cell r="E1811">
            <v>10900</v>
          </cell>
          <cell r="F1811">
            <v>54500</v>
          </cell>
          <cell r="G1811">
            <v>545</v>
          </cell>
          <cell r="Q1811">
            <v>11500</v>
          </cell>
          <cell r="R1811">
            <v>20</v>
          </cell>
          <cell r="S1811" t="str">
            <v>pak</v>
          </cell>
          <cell r="AA1811">
            <v>55500</v>
          </cell>
          <cell r="AB1811" t="str">
            <v>dos</v>
          </cell>
        </row>
        <row r="1812">
          <cell r="A1812" t="str">
            <v>SIMBAr</v>
          </cell>
          <cell r="B1812" t="str">
            <v>Snack Simba Choko Rilas 8 gr</v>
          </cell>
          <cell r="C1812">
            <v>10</v>
          </cell>
          <cell r="D1812" t="str">
            <v>rtg</v>
          </cell>
          <cell r="E1812">
            <v>4000</v>
          </cell>
          <cell r="F1812">
            <v>64000</v>
          </cell>
          <cell r="G1812">
            <v>400</v>
          </cell>
          <cell r="N1812">
            <v>5000</v>
          </cell>
          <cell r="O1812">
            <v>10</v>
          </cell>
          <cell r="P1812" t="str">
            <v>rtg</v>
          </cell>
          <cell r="AA1812">
            <v>47000</v>
          </cell>
          <cell r="AB1812" t="str">
            <v>dos</v>
          </cell>
        </row>
        <row r="1813">
          <cell r="A1813" t="str">
            <v>SIMBAG</v>
          </cell>
          <cell r="B1813" t="str">
            <v>Snack Simba Choko Rilas Gelas 45 gr</v>
          </cell>
          <cell r="C1813">
            <v>36</v>
          </cell>
          <cell r="D1813" t="str">
            <v>pc</v>
          </cell>
          <cell r="E1813">
            <v>56900</v>
          </cell>
          <cell r="F1813">
            <v>18966.666666666668</v>
          </cell>
          <cell r="G1813">
            <v>1580.5555555555557</v>
          </cell>
          <cell r="H1813">
            <v>3000</v>
          </cell>
          <cell r="I1813" t="str">
            <v>pc</v>
          </cell>
          <cell r="J1813">
            <v>3000</v>
          </cell>
          <cell r="K1813" t="str">
            <v>pc</v>
          </cell>
          <cell r="L1813">
            <v>3000</v>
          </cell>
          <cell r="M1813" t="str">
            <v>pc</v>
          </cell>
          <cell r="T1813">
            <v>31000</v>
          </cell>
          <cell r="U1813">
            <v>12</v>
          </cell>
          <cell r="V1813" t="str">
            <v>lsn</v>
          </cell>
          <cell r="W1813">
            <v>2550</v>
          </cell>
          <cell r="X1813" t="str">
            <v>pc</v>
          </cell>
          <cell r="Y1813">
            <v>2583.3333333333335</v>
          </cell>
          <cell r="Z1813" t="str">
            <v>pc</v>
          </cell>
        </row>
        <row r="1814">
          <cell r="A1814" t="str">
            <v>SIMBA30</v>
          </cell>
          <cell r="B1814" t="str">
            <v>Snack Simba Choko Rilas B 30 GR</v>
          </cell>
          <cell r="C1814">
            <v>5</v>
          </cell>
          <cell r="D1814" t="str">
            <v>pcs</v>
          </cell>
          <cell r="E1814">
            <v>7900</v>
          </cell>
          <cell r="F1814">
            <v>63200</v>
          </cell>
          <cell r="G1814">
            <v>1580</v>
          </cell>
          <cell r="H1814">
            <v>2500</v>
          </cell>
          <cell r="I1814" t="str">
            <v>pc</v>
          </cell>
          <cell r="J1814">
            <v>2000</v>
          </cell>
          <cell r="K1814" t="str">
            <v>pc</v>
          </cell>
          <cell r="L1814">
            <v>2000</v>
          </cell>
          <cell r="M1814" t="str">
            <v>pc</v>
          </cell>
          <cell r="Q1814">
            <v>10000</v>
          </cell>
          <cell r="R1814">
            <v>5</v>
          </cell>
          <cell r="S1814" t="str">
            <v>pak</v>
          </cell>
        </row>
        <row r="1815">
          <cell r="A1815" t="str">
            <v>SINDO</v>
          </cell>
          <cell r="B1815" t="str">
            <v>Snack Sindo Ring</v>
          </cell>
          <cell r="C1815">
            <v>10</v>
          </cell>
          <cell r="D1815" t="str">
            <v>pak</v>
          </cell>
          <cell r="E1815">
            <v>4312.5</v>
          </cell>
          <cell r="G1815">
            <v>431.25</v>
          </cell>
          <cell r="Q1815">
            <v>4500</v>
          </cell>
          <cell r="R1815">
            <v>10</v>
          </cell>
          <cell r="S1815" t="str">
            <v>pak</v>
          </cell>
        </row>
        <row r="1816">
          <cell r="A1816" t="str">
            <v>SIIPK</v>
          </cell>
          <cell r="B1816" t="str">
            <v>Snack Sipp Kecil</v>
          </cell>
          <cell r="C1816">
            <v>20</v>
          </cell>
          <cell r="D1816" t="str">
            <v>pak</v>
          </cell>
          <cell r="E1816">
            <v>7111.1111111111113</v>
          </cell>
          <cell r="F1816">
            <v>64000</v>
          </cell>
          <cell r="G1816">
            <v>355.55555555555554</v>
          </cell>
          <cell r="H1816">
            <v>500</v>
          </cell>
          <cell r="I1816" t="str">
            <v>PC</v>
          </cell>
          <cell r="J1816">
            <v>500</v>
          </cell>
          <cell r="K1816" t="str">
            <v>PC</v>
          </cell>
          <cell r="L1816">
            <v>500</v>
          </cell>
          <cell r="M1816" t="str">
            <v>PC</v>
          </cell>
          <cell r="Q1816">
            <v>9000</v>
          </cell>
          <cell r="R1816">
            <v>20</v>
          </cell>
          <cell r="S1816" t="str">
            <v>pak</v>
          </cell>
          <cell r="AA1816">
            <v>68000</v>
          </cell>
          <cell r="AB1816" t="str">
            <v>dos</v>
          </cell>
        </row>
        <row r="1817">
          <cell r="A1817" t="str">
            <v>SIIPP</v>
          </cell>
          <cell r="B1817" t="str">
            <v>Snack Sipp Pak Isi 5</v>
          </cell>
          <cell r="C1817">
            <v>5</v>
          </cell>
          <cell r="D1817" t="str">
            <v>pak</v>
          </cell>
          <cell r="E1817">
            <v>10533.5</v>
          </cell>
          <cell r="F1817">
            <v>63201</v>
          </cell>
          <cell r="G1817">
            <v>2106.6999999999998</v>
          </cell>
          <cell r="H1817">
            <v>3000</v>
          </cell>
          <cell r="I1817" t="str">
            <v>pc</v>
          </cell>
          <cell r="J1817">
            <v>3000</v>
          </cell>
          <cell r="K1817" t="str">
            <v>pc</v>
          </cell>
          <cell r="L1817">
            <v>3000</v>
          </cell>
          <cell r="M1817" t="str">
            <v>pc</v>
          </cell>
          <cell r="Q1817">
            <v>11000</v>
          </cell>
          <cell r="R1817">
            <v>5</v>
          </cell>
          <cell r="S1817" t="str">
            <v>pak</v>
          </cell>
          <cell r="AA1817">
            <v>66000</v>
          </cell>
          <cell r="AB1817" t="str">
            <v>dos</v>
          </cell>
        </row>
        <row r="1818">
          <cell r="A1818" t="str">
            <v>ROLLS8</v>
          </cell>
          <cell r="B1818" t="str">
            <v>Snack ROLL'S 8 GR</v>
          </cell>
          <cell r="C1818">
            <v>20</v>
          </cell>
          <cell r="D1818" t="str">
            <v>pak</v>
          </cell>
          <cell r="E1818">
            <v>8000</v>
          </cell>
          <cell r="F1818">
            <v>48000</v>
          </cell>
          <cell r="G1818">
            <v>400</v>
          </cell>
          <cell r="Q1818">
            <v>9000</v>
          </cell>
          <cell r="R1818">
            <v>20</v>
          </cell>
          <cell r="S1818" t="str">
            <v>pak</v>
          </cell>
          <cell r="AA1818">
            <v>52500</v>
          </cell>
          <cell r="AB1818" t="str">
            <v>dos</v>
          </cell>
        </row>
        <row r="1819">
          <cell r="A1819" t="str">
            <v>ROLLS16</v>
          </cell>
          <cell r="B1819" t="str">
            <v>Snack ROLL'S 16 GR</v>
          </cell>
          <cell r="C1819">
            <v>20</v>
          </cell>
          <cell r="D1819" t="str">
            <v>pak</v>
          </cell>
          <cell r="E1819">
            <v>15600</v>
          </cell>
          <cell r="F1819">
            <v>93600</v>
          </cell>
          <cell r="G1819">
            <v>780</v>
          </cell>
          <cell r="Q1819">
            <v>17500</v>
          </cell>
          <cell r="R1819">
            <v>20</v>
          </cell>
          <cell r="S1819" t="str">
            <v>pak</v>
          </cell>
        </row>
        <row r="1820">
          <cell r="A1820" t="str">
            <v>ROLLS43</v>
          </cell>
          <cell r="B1820" t="str">
            <v>Snack ROLL'S 43 gr</v>
          </cell>
          <cell r="C1820">
            <v>60</v>
          </cell>
          <cell r="D1820" t="str">
            <v>pcs</v>
          </cell>
          <cell r="E1820">
            <v>106800</v>
          </cell>
          <cell r="F1820">
            <v>21360</v>
          </cell>
          <cell r="G1820">
            <v>1780</v>
          </cell>
        </row>
        <row r="1821">
          <cell r="A1821" t="str">
            <v>PISTOL</v>
          </cell>
          <cell r="B1821" t="str">
            <v>Snack Sirup Pistol</v>
          </cell>
          <cell r="C1821">
            <v>20</v>
          </cell>
          <cell r="D1821" t="str">
            <v>pak</v>
          </cell>
          <cell r="E1821">
            <v>16250</v>
          </cell>
          <cell r="F1821">
            <v>130000</v>
          </cell>
          <cell r="G1821">
            <v>812.5</v>
          </cell>
          <cell r="H1821">
            <v>1000</v>
          </cell>
          <cell r="I1821" t="str">
            <v>pc</v>
          </cell>
          <cell r="J1821">
            <v>1000</v>
          </cell>
          <cell r="K1821" t="str">
            <v>pc</v>
          </cell>
          <cell r="L1821">
            <v>1000</v>
          </cell>
          <cell r="M1821" t="str">
            <v>pc</v>
          </cell>
          <cell r="Q1821">
            <v>17500</v>
          </cell>
          <cell r="R1821">
            <v>20</v>
          </cell>
          <cell r="S1821" t="str">
            <v>pak</v>
          </cell>
          <cell r="AA1821">
            <v>132000</v>
          </cell>
          <cell r="AB1821" t="str">
            <v>dos</v>
          </cell>
        </row>
        <row r="1822">
          <cell r="A1822" t="str">
            <v>SLAI240</v>
          </cell>
          <cell r="B1822" t="str">
            <v>Snack Slai Olai BESAR isi 5 240 gr</v>
          </cell>
          <cell r="C1822">
            <v>5</v>
          </cell>
          <cell r="D1822" t="str">
            <v>pak</v>
          </cell>
          <cell r="E1822">
            <v>38500</v>
          </cell>
          <cell r="F1822">
            <v>154000</v>
          </cell>
          <cell r="G1822">
            <v>7700</v>
          </cell>
          <cell r="H1822">
            <v>9000</v>
          </cell>
          <cell r="I1822" t="str">
            <v>pc</v>
          </cell>
          <cell r="J1822">
            <v>8500</v>
          </cell>
          <cell r="K1822" t="str">
            <v>pc</v>
          </cell>
          <cell r="L1822">
            <v>8500</v>
          </cell>
          <cell r="M1822" t="str">
            <v>pc</v>
          </cell>
          <cell r="Q1822">
            <v>41500</v>
          </cell>
          <cell r="R1822">
            <v>5</v>
          </cell>
          <cell r="S1822" t="str">
            <v>pak</v>
          </cell>
          <cell r="W1822">
            <v>8200</v>
          </cell>
          <cell r="X1822" t="str">
            <v>pc</v>
          </cell>
          <cell r="Y1822">
            <v>8300</v>
          </cell>
          <cell r="Z1822" t="str">
            <v>pc</v>
          </cell>
        </row>
        <row r="1823">
          <cell r="A1823" t="str">
            <v>SLAI12</v>
          </cell>
          <cell r="B1823" t="str">
            <v>Snack Slai Olai isi 12 X 24 GR</v>
          </cell>
          <cell r="C1823">
            <v>12</v>
          </cell>
          <cell r="D1823" t="str">
            <v>pak</v>
          </cell>
          <cell r="E1823">
            <v>9699.9833333333336</v>
          </cell>
          <cell r="F1823">
            <v>116399.8</v>
          </cell>
          <cell r="G1823">
            <v>808.3319444444445</v>
          </cell>
          <cell r="Q1823">
            <v>11000</v>
          </cell>
          <cell r="R1823">
            <v>12</v>
          </cell>
          <cell r="S1823" t="str">
            <v>pak</v>
          </cell>
          <cell r="AA1823">
            <v>119000</v>
          </cell>
          <cell r="AB1823" t="str">
            <v>dos</v>
          </cell>
        </row>
        <row r="1824">
          <cell r="A1824" t="str">
            <v>SLAI128</v>
          </cell>
          <cell r="B1824" t="str">
            <v>Snack Slai Olai isi 128GR</v>
          </cell>
          <cell r="C1824">
            <v>24</v>
          </cell>
          <cell r="D1824" t="str">
            <v>pak</v>
          </cell>
          <cell r="E1824">
            <v>86399.5</v>
          </cell>
          <cell r="F1824">
            <v>43199.75</v>
          </cell>
          <cell r="G1824">
            <v>3599.9791666666665</v>
          </cell>
          <cell r="H1824">
            <v>5000</v>
          </cell>
          <cell r="I1824" t="str">
            <v>pc</v>
          </cell>
          <cell r="J1824">
            <v>4500</v>
          </cell>
          <cell r="K1824" t="str">
            <v>pc</v>
          </cell>
          <cell r="L1824">
            <v>4100</v>
          </cell>
          <cell r="M1824" t="str">
            <v>pc</v>
          </cell>
          <cell r="T1824">
            <v>46000</v>
          </cell>
          <cell r="U1824">
            <v>12</v>
          </cell>
          <cell r="V1824" t="str">
            <v>lsn</v>
          </cell>
          <cell r="W1824">
            <v>3800</v>
          </cell>
          <cell r="X1824" t="str">
            <v>pc</v>
          </cell>
          <cell r="Y1824">
            <v>3900</v>
          </cell>
          <cell r="Z1824" t="str">
            <v>pc</v>
          </cell>
        </row>
        <row r="1825">
          <cell r="A1825" t="str">
            <v>SLAI32</v>
          </cell>
          <cell r="B1825" t="str">
            <v>Snack Slai Olai isi 24 X 32 GR</v>
          </cell>
          <cell r="C1825">
            <v>24</v>
          </cell>
          <cell r="D1825" t="str">
            <v>pak</v>
          </cell>
          <cell r="E1825">
            <v>20500</v>
          </cell>
          <cell r="F1825">
            <v>123000</v>
          </cell>
          <cell r="G1825">
            <v>854.16666666666663</v>
          </cell>
          <cell r="Q1825">
            <v>22000</v>
          </cell>
          <cell r="R1825">
            <v>24</v>
          </cell>
          <cell r="S1825" t="str">
            <v>pak</v>
          </cell>
          <cell r="AA1825">
            <v>126500</v>
          </cell>
          <cell r="AB1825" t="str">
            <v>dos</v>
          </cell>
        </row>
        <row r="1826">
          <cell r="A1826" t="str">
            <v>SLUPPY</v>
          </cell>
          <cell r="B1826" t="str">
            <v>Snack SLUPPY</v>
          </cell>
          <cell r="C1826">
            <v>12</v>
          </cell>
          <cell r="D1826" t="str">
            <v>pcs</v>
          </cell>
          <cell r="E1826">
            <v>5000</v>
          </cell>
          <cell r="F1826">
            <v>60000</v>
          </cell>
          <cell r="G1826">
            <v>416.66666666666669</v>
          </cell>
          <cell r="Q1826">
            <v>6500</v>
          </cell>
          <cell r="R1826">
            <v>12</v>
          </cell>
          <cell r="S1826" t="str">
            <v>pak</v>
          </cell>
          <cell r="AA1826">
            <v>63000</v>
          </cell>
          <cell r="AB1826" t="str">
            <v>dos</v>
          </cell>
        </row>
        <row r="1827">
          <cell r="A1827" t="str">
            <v>SOBA</v>
          </cell>
          <cell r="B1827" t="str">
            <v>Snack Soba MI</v>
          </cell>
          <cell r="C1827">
            <v>20</v>
          </cell>
          <cell r="D1827" t="str">
            <v>rtg</v>
          </cell>
          <cell r="E1827">
            <v>8500</v>
          </cell>
          <cell r="F1827">
            <v>42500</v>
          </cell>
          <cell r="G1827">
            <v>425</v>
          </cell>
          <cell r="Q1827">
            <v>9500</v>
          </cell>
          <cell r="R1827">
            <v>20</v>
          </cell>
          <cell r="S1827" t="str">
            <v>pak</v>
          </cell>
          <cell r="AA1827">
            <v>45000</v>
          </cell>
          <cell r="AB1827" t="str">
            <v>dos</v>
          </cell>
        </row>
        <row r="1828">
          <cell r="A1828" t="str">
            <v>SOSIS</v>
          </cell>
          <cell r="B1828" t="str">
            <v>Sosis HEMATO/OKE/WIGO</v>
          </cell>
          <cell r="C1828">
            <v>1</v>
          </cell>
          <cell r="D1828" t="str">
            <v>pc</v>
          </cell>
          <cell r="E1828">
            <v>19200</v>
          </cell>
          <cell r="G1828">
            <v>19200</v>
          </cell>
          <cell r="H1828">
            <v>23000</v>
          </cell>
          <cell r="I1828" t="str">
            <v>pc</v>
          </cell>
          <cell r="J1828">
            <v>23000</v>
          </cell>
          <cell r="K1828" t="str">
            <v>pc</v>
          </cell>
          <cell r="AA1828">
            <v>110000</v>
          </cell>
          <cell r="AB1828" t="str">
            <v>dos</v>
          </cell>
        </row>
        <row r="1829">
          <cell r="A1829" t="str">
            <v>PENTOL</v>
          </cell>
          <cell r="B1829" t="str">
            <v>Pentol HEMATO/OKE/WIGO</v>
          </cell>
          <cell r="C1829">
            <v>1</v>
          </cell>
          <cell r="D1829" t="str">
            <v>pc</v>
          </cell>
          <cell r="E1829">
            <v>24200</v>
          </cell>
          <cell r="G1829">
            <v>24200</v>
          </cell>
          <cell r="H1829">
            <v>28000</v>
          </cell>
          <cell r="I1829" t="str">
            <v>pc</v>
          </cell>
          <cell r="J1829">
            <v>28000</v>
          </cell>
          <cell r="K1829" t="str">
            <v>pc</v>
          </cell>
          <cell r="AA1829">
            <v>110000</v>
          </cell>
          <cell r="AB1829" t="str">
            <v>dos</v>
          </cell>
        </row>
        <row r="1830">
          <cell r="A1830" t="str">
            <v>CHAMP</v>
          </cell>
          <cell r="B1830" t="str">
            <v>Snack Sosis CHAMP</v>
          </cell>
          <cell r="C1830">
            <v>24</v>
          </cell>
          <cell r="D1830" t="str">
            <v>pak</v>
          </cell>
          <cell r="E1830">
            <v>17666.666666666668</v>
          </cell>
          <cell r="F1830">
            <v>106000</v>
          </cell>
          <cell r="G1830">
            <v>736.1111111111112</v>
          </cell>
          <cell r="Q1830">
            <v>19000</v>
          </cell>
          <cell r="R1830">
            <v>24</v>
          </cell>
          <cell r="S1830" t="str">
            <v>tpls</v>
          </cell>
          <cell r="AA1830">
            <v>110000</v>
          </cell>
          <cell r="AB1830" t="str">
            <v>dos</v>
          </cell>
        </row>
        <row r="1831">
          <cell r="A1831" t="str">
            <v>SONICEK</v>
          </cell>
          <cell r="B1831" t="str">
            <v>Snack Sosis SONICE Kecil</v>
          </cell>
          <cell r="C1831">
            <v>24</v>
          </cell>
          <cell r="D1831" t="str">
            <v>pak</v>
          </cell>
          <cell r="E1831">
            <v>19666.666666666668</v>
          </cell>
          <cell r="F1831">
            <v>118000</v>
          </cell>
          <cell r="G1831">
            <v>819.44444444444446</v>
          </cell>
          <cell r="H1831">
            <v>1000</v>
          </cell>
          <cell r="I1831" t="str">
            <v>pc</v>
          </cell>
          <cell r="J1831">
            <v>1000</v>
          </cell>
          <cell r="K1831" t="str">
            <v>pc</v>
          </cell>
          <cell r="L1831">
            <v>1000</v>
          </cell>
          <cell r="M1831" t="str">
            <v>pc</v>
          </cell>
          <cell r="Q1831">
            <v>21000</v>
          </cell>
          <cell r="R1831">
            <v>24</v>
          </cell>
          <cell r="S1831" t="str">
            <v>tpls</v>
          </cell>
        </row>
        <row r="1832">
          <cell r="A1832" t="str">
            <v>SONICEJ</v>
          </cell>
          <cell r="B1832" t="str">
            <v>Snack Sosis SONICE Jumbo</v>
          </cell>
          <cell r="C1832">
            <v>17</v>
          </cell>
          <cell r="D1832" t="str">
            <v>pcs</v>
          </cell>
          <cell r="E1832">
            <v>25333.333333333332</v>
          </cell>
          <cell r="F1832">
            <v>152000</v>
          </cell>
          <cell r="G1832">
            <v>1490.1960784313724</v>
          </cell>
          <cell r="H1832">
            <v>2000</v>
          </cell>
          <cell r="I1832" t="str">
            <v>pc</v>
          </cell>
          <cell r="J1832">
            <v>2000</v>
          </cell>
          <cell r="K1832" t="str">
            <v>pc</v>
          </cell>
          <cell r="L1832">
            <v>2000</v>
          </cell>
          <cell r="M1832" t="str">
            <v>pc</v>
          </cell>
          <cell r="Q1832">
            <v>27000</v>
          </cell>
          <cell r="R1832">
            <v>17</v>
          </cell>
          <cell r="S1832" t="str">
            <v>tpls</v>
          </cell>
        </row>
        <row r="1833">
          <cell r="A1833" t="str">
            <v>KIMBO</v>
          </cell>
          <cell r="B1833" t="str">
            <v>Snack Sosis KIMBO</v>
          </cell>
          <cell r="C1833">
            <v>24</v>
          </cell>
          <cell r="D1833" t="str">
            <v>pak</v>
          </cell>
          <cell r="E1833">
            <v>19000</v>
          </cell>
          <cell r="F1833">
            <v>114000</v>
          </cell>
          <cell r="G1833">
            <v>791.66666666666663</v>
          </cell>
          <cell r="Q1833">
            <v>20000</v>
          </cell>
          <cell r="R1833">
            <v>24</v>
          </cell>
          <cell r="S1833" t="str">
            <v>tpls</v>
          </cell>
          <cell r="AA1833">
            <v>118500</v>
          </cell>
          <cell r="AB1833" t="str">
            <v>dos</v>
          </cell>
        </row>
        <row r="1834">
          <cell r="A1834" t="str">
            <v>CHAMP</v>
          </cell>
          <cell r="B1834" t="str">
            <v>Snack Sosis CHAMP</v>
          </cell>
          <cell r="C1834">
            <v>26</v>
          </cell>
          <cell r="D1834" t="str">
            <v>pak</v>
          </cell>
          <cell r="E1834">
            <v>16666.666666666668</v>
          </cell>
          <cell r="F1834">
            <v>100000</v>
          </cell>
          <cell r="G1834">
            <v>641.02564102564111</v>
          </cell>
          <cell r="Q1834">
            <v>19000</v>
          </cell>
          <cell r="R1834">
            <v>26</v>
          </cell>
          <cell r="S1834" t="str">
            <v>tpls</v>
          </cell>
        </row>
        <row r="1835">
          <cell r="A1835" t="str">
            <v>sotoayam</v>
          </cell>
          <cell r="B1835" t="str">
            <v>Snack Soto Ayam/ Airo</v>
          </cell>
          <cell r="C1835">
            <v>20</v>
          </cell>
          <cell r="D1835" t="str">
            <v>pak</v>
          </cell>
          <cell r="E1835">
            <v>8250</v>
          </cell>
          <cell r="F1835">
            <v>33000</v>
          </cell>
          <cell r="G1835">
            <v>412.5</v>
          </cell>
          <cell r="Q1835">
            <v>9000</v>
          </cell>
          <cell r="R1835">
            <v>20</v>
          </cell>
          <cell r="S1835" t="str">
            <v>pak</v>
          </cell>
          <cell r="AA1835">
            <v>35500</v>
          </cell>
          <cell r="AB1835" t="str">
            <v>dos</v>
          </cell>
        </row>
        <row r="1836">
          <cell r="A1836" t="str">
            <v>STICK</v>
          </cell>
          <cell r="B1836" t="str">
            <v>Snack STICK NANGKA/ABON/COKLAT</v>
          </cell>
          <cell r="C1836">
            <v>20</v>
          </cell>
          <cell r="D1836" t="str">
            <v>pak</v>
          </cell>
          <cell r="E1836">
            <v>8083.333333333333</v>
          </cell>
          <cell r="F1836">
            <v>48500</v>
          </cell>
          <cell r="G1836">
            <v>404.16666666666663</v>
          </cell>
          <cell r="Q1836">
            <v>9000</v>
          </cell>
          <cell r="R1836">
            <v>20</v>
          </cell>
          <cell r="S1836" t="str">
            <v>pak</v>
          </cell>
          <cell r="AA1836">
            <v>51000</v>
          </cell>
          <cell r="AB1836" t="str">
            <v>dos</v>
          </cell>
        </row>
        <row r="1837">
          <cell r="A1837" t="str">
            <v>BALADO1000</v>
          </cell>
          <cell r="B1837" t="str">
            <v>Snack Stik Balado 1000 GR</v>
          </cell>
          <cell r="C1837">
            <v>2</v>
          </cell>
          <cell r="D1837" t="str">
            <v>pak</v>
          </cell>
          <cell r="E1837">
            <v>50000</v>
          </cell>
          <cell r="G1837">
            <v>25000</v>
          </cell>
          <cell r="AA1837">
            <v>54000</v>
          </cell>
          <cell r="AB1837" t="str">
            <v>dos</v>
          </cell>
        </row>
        <row r="1838">
          <cell r="A1838" t="str">
            <v>BALADO225</v>
          </cell>
          <cell r="B1838" t="str">
            <v>Snack Stik Balado 225 GR</v>
          </cell>
          <cell r="C1838">
            <v>8</v>
          </cell>
          <cell r="D1838" t="str">
            <v>pak</v>
          </cell>
          <cell r="E1838">
            <v>52000</v>
          </cell>
          <cell r="G1838">
            <v>6500</v>
          </cell>
          <cell r="AA1838">
            <v>56000</v>
          </cell>
          <cell r="AB1838" t="str">
            <v>dos</v>
          </cell>
        </row>
        <row r="1839">
          <cell r="A1839" t="str">
            <v>BALADO500</v>
          </cell>
          <cell r="B1839" t="str">
            <v>Snack Stik Balado 500 GR</v>
          </cell>
          <cell r="C1839">
            <v>4</v>
          </cell>
          <cell r="D1839" t="str">
            <v>pak</v>
          </cell>
          <cell r="E1839">
            <v>56000</v>
          </cell>
          <cell r="G1839">
            <v>14000</v>
          </cell>
          <cell r="H1839">
            <v>18000</v>
          </cell>
          <cell r="I1839" t="str">
            <v>pc</v>
          </cell>
          <cell r="AA1839">
            <v>60000</v>
          </cell>
          <cell r="AB1839" t="str">
            <v>dos</v>
          </cell>
        </row>
        <row r="1840">
          <cell r="A1840" t="str">
            <v>STICK400</v>
          </cell>
          <cell r="B1840" t="str">
            <v>Snack Stik 400 GR</v>
          </cell>
          <cell r="C1840">
            <v>5</v>
          </cell>
          <cell r="D1840" t="str">
            <v>pak</v>
          </cell>
          <cell r="E1840">
            <v>53500</v>
          </cell>
          <cell r="G1840">
            <v>10700</v>
          </cell>
          <cell r="AA1840">
            <v>56000</v>
          </cell>
          <cell r="AB1840" t="str">
            <v>dos</v>
          </cell>
        </row>
        <row r="1841">
          <cell r="A1841" t="str">
            <v>STIKKO</v>
          </cell>
          <cell r="B1841" t="str">
            <v>Snack Stikko</v>
          </cell>
          <cell r="C1841">
            <v>12</v>
          </cell>
          <cell r="D1841" t="str">
            <v>pak</v>
          </cell>
          <cell r="E1841">
            <v>10705</v>
          </cell>
          <cell r="G1841">
            <v>892.08333333333337</v>
          </cell>
          <cell r="Q1841">
            <v>11000</v>
          </cell>
          <cell r="R1841">
            <v>12</v>
          </cell>
          <cell r="S1841" t="str">
            <v>pak</v>
          </cell>
          <cell r="AA1841">
            <v>109000</v>
          </cell>
          <cell r="AB1841" t="str">
            <v>dos</v>
          </cell>
        </row>
        <row r="1842">
          <cell r="A1842" t="str">
            <v>SUKIYAKI</v>
          </cell>
          <cell r="B1842" t="str">
            <v>Snack Sukiyaki</v>
          </cell>
          <cell r="C1842">
            <v>20</v>
          </cell>
          <cell r="D1842" t="str">
            <v>pak</v>
          </cell>
          <cell r="E1842">
            <v>8187.5</v>
          </cell>
          <cell r="F1842">
            <v>65500</v>
          </cell>
          <cell r="G1842">
            <v>409.375</v>
          </cell>
          <cell r="Q1842">
            <v>9000</v>
          </cell>
          <cell r="R1842">
            <v>20</v>
          </cell>
          <cell r="S1842" t="str">
            <v>pak</v>
          </cell>
          <cell r="AA1842">
            <v>68000</v>
          </cell>
          <cell r="AB1842" t="str">
            <v>dos</v>
          </cell>
        </row>
        <row r="1843">
          <cell r="A1843" t="str">
            <v>KERO3</v>
          </cell>
          <cell r="B1843" t="str">
            <v>Snack KERO-KERO WAFER STICK ISI 3</v>
          </cell>
          <cell r="C1843">
            <v>3</v>
          </cell>
          <cell r="D1843" t="str">
            <v>pak</v>
          </cell>
          <cell r="E1843">
            <v>5100</v>
          </cell>
          <cell r="F1843">
            <v>51000</v>
          </cell>
          <cell r="G1843">
            <v>1700</v>
          </cell>
          <cell r="Q1843">
            <v>6500</v>
          </cell>
          <cell r="R1843">
            <v>3</v>
          </cell>
          <cell r="S1843" t="str">
            <v>pak</v>
          </cell>
        </row>
        <row r="1844">
          <cell r="A1844" t="str">
            <v>KEROR</v>
          </cell>
          <cell r="B1844" t="str">
            <v>Snack KERO-KERO WAFER PAK</v>
          </cell>
          <cell r="C1844">
            <v>3</v>
          </cell>
          <cell r="D1844" t="str">
            <v>pak</v>
          </cell>
          <cell r="E1844">
            <v>4083.3333333333335</v>
          </cell>
          <cell r="F1844">
            <v>49000</v>
          </cell>
          <cell r="G1844">
            <v>1361.1111111111111</v>
          </cell>
          <cell r="Q1844">
            <v>5000</v>
          </cell>
          <cell r="R1844">
            <v>3</v>
          </cell>
          <cell r="S1844" t="str">
            <v>pak</v>
          </cell>
        </row>
        <row r="1845">
          <cell r="A1845" t="str">
            <v>KERO50</v>
          </cell>
          <cell r="B1845" t="str">
            <v>Snack KERO-KERO 50 GR</v>
          </cell>
          <cell r="C1845">
            <v>30</v>
          </cell>
          <cell r="D1845" t="str">
            <v>pak</v>
          </cell>
          <cell r="E1845">
            <v>49500</v>
          </cell>
          <cell r="F1845">
            <v>19800</v>
          </cell>
          <cell r="G1845">
            <v>1650</v>
          </cell>
          <cell r="H1845">
            <v>2000</v>
          </cell>
          <cell r="I1845" t="str">
            <v>pc</v>
          </cell>
          <cell r="J1845">
            <v>2000</v>
          </cell>
          <cell r="K1845" t="str">
            <v>pc</v>
          </cell>
          <cell r="L1845">
            <v>1950</v>
          </cell>
          <cell r="M1845" t="str">
            <v>pc</v>
          </cell>
          <cell r="T1845">
            <v>22000</v>
          </cell>
          <cell r="U1845">
            <v>12</v>
          </cell>
          <cell r="V1845" t="str">
            <v>lsn</v>
          </cell>
          <cell r="W1845">
            <v>1800</v>
          </cell>
          <cell r="X1845" t="str">
            <v>pc</v>
          </cell>
          <cell r="Y1845">
            <v>1833.3333333333333</v>
          </cell>
          <cell r="Z1845" t="str">
            <v>pc</v>
          </cell>
        </row>
        <row r="1846">
          <cell r="A1846" t="str">
            <v>SUPERBOYR</v>
          </cell>
          <cell r="B1846" t="str">
            <v>Snack SUPER BOY Wafer ROLL</v>
          </cell>
          <cell r="C1846">
            <v>10</v>
          </cell>
          <cell r="D1846" t="str">
            <v>pak</v>
          </cell>
          <cell r="E1846">
            <v>4250</v>
          </cell>
          <cell r="F1846">
            <v>42500</v>
          </cell>
          <cell r="G1846">
            <v>425</v>
          </cell>
          <cell r="Q1846">
            <v>5000</v>
          </cell>
          <cell r="R1846">
            <v>10</v>
          </cell>
          <cell r="S1846" t="str">
            <v>pak</v>
          </cell>
        </row>
        <row r="1847">
          <cell r="A1847" t="str">
            <v>SUPERBOYP</v>
          </cell>
          <cell r="B1847" t="str">
            <v>Snack SUPER BOY 3 IN 1</v>
          </cell>
          <cell r="C1847">
            <v>25</v>
          </cell>
          <cell r="D1847" t="str">
            <v>pak</v>
          </cell>
          <cell r="E1847">
            <v>10000</v>
          </cell>
          <cell r="F1847">
            <v>80000</v>
          </cell>
          <cell r="G1847">
            <v>400</v>
          </cell>
          <cell r="Q1847">
            <v>11000</v>
          </cell>
          <cell r="R1847">
            <v>25</v>
          </cell>
          <cell r="S1847" t="str">
            <v>pak</v>
          </cell>
          <cell r="AA1847">
            <v>83000</v>
          </cell>
          <cell r="AB1847" t="str">
            <v>dos</v>
          </cell>
        </row>
        <row r="1848">
          <cell r="A1848" t="str">
            <v>SUPERCO</v>
          </cell>
          <cell r="B1848" t="str">
            <v>Snack Superco</v>
          </cell>
          <cell r="C1848">
            <v>10</v>
          </cell>
          <cell r="D1848" t="str">
            <v>pcs</v>
          </cell>
          <cell r="E1848">
            <v>4416.666666666667</v>
          </cell>
          <cell r="F1848">
            <v>79500</v>
          </cell>
          <cell r="G1848">
            <v>441.66666666666669</v>
          </cell>
        </row>
        <row r="1849">
          <cell r="A1849" t="str">
            <v>SUPERSTAR12</v>
          </cell>
          <cell r="B1849" t="str">
            <v>Snack Superstar isi 12 pc</v>
          </cell>
          <cell r="C1849">
            <v>12</v>
          </cell>
          <cell r="D1849" t="str">
            <v>pak</v>
          </cell>
          <cell r="E1849">
            <v>9699.9833333333336</v>
          </cell>
          <cell r="F1849">
            <v>116399.8</v>
          </cell>
          <cell r="G1849">
            <v>808.3319444444445</v>
          </cell>
          <cell r="Q1849">
            <v>11000</v>
          </cell>
          <cell r="R1849">
            <v>12</v>
          </cell>
          <cell r="S1849" t="str">
            <v>pak</v>
          </cell>
        </row>
        <row r="1850">
          <cell r="A1850" t="str">
            <v>SUPERSTARS</v>
          </cell>
          <cell r="B1850" t="str">
            <v>Snack Superstar Snap</v>
          </cell>
          <cell r="C1850">
            <v>12</v>
          </cell>
          <cell r="D1850" t="str">
            <v>pak</v>
          </cell>
          <cell r="E1850">
            <v>14800</v>
          </cell>
          <cell r="F1850">
            <v>118400</v>
          </cell>
          <cell r="G1850">
            <v>1233.3333333333333</v>
          </cell>
          <cell r="H1850">
            <v>2000</v>
          </cell>
          <cell r="I1850" t="str">
            <v>pc</v>
          </cell>
          <cell r="Q1850">
            <v>16000</v>
          </cell>
          <cell r="R1850">
            <v>12</v>
          </cell>
          <cell r="S1850" t="str">
            <v>pak</v>
          </cell>
        </row>
        <row r="1851">
          <cell r="A1851" t="str">
            <v>OVALBALL</v>
          </cell>
          <cell r="B1851" t="str">
            <v>Snack Tabelo OVAL BALL</v>
          </cell>
          <cell r="C1851">
            <v>20</v>
          </cell>
          <cell r="D1851" t="str">
            <v>pcs</v>
          </cell>
          <cell r="E1851">
            <v>7791.666666666667</v>
          </cell>
          <cell r="F1851">
            <v>93500</v>
          </cell>
          <cell r="G1851">
            <v>389.58333333333337</v>
          </cell>
          <cell r="Q1851">
            <v>8500</v>
          </cell>
          <cell r="R1851">
            <v>20</v>
          </cell>
          <cell r="S1851" t="str">
            <v>pak</v>
          </cell>
          <cell r="AA1851">
            <v>96000</v>
          </cell>
          <cell r="AB1851" t="str">
            <v>dos</v>
          </cell>
        </row>
        <row r="1852">
          <cell r="A1852" t="str">
            <v>POPKRESS</v>
          </cell>
          <cell r="B1852" t="str">
            <v>Snack Tabelo Pop KreSS</v>
          </cell>
          <cell r="C1852">
            <v>20</v>
          </cell>
          <cell r="D1852" t="str">
            <v>pcs</v>
          </cell>
          <cell r="E1852">
            <v>7791.666666666667</v>
          </cell>
          <cell r="F1852">
            <v>93500</v>
          </cell>
          <cell r="G1852">
            <v>389.58333333333337</v>
          </cell>
          <cell r="Q1852">
            <v>8500</v>
          </cell>
          <cell r="R1852">
            <v>20</v>
          </cell>
          <cell r="S1852" t="str">
            <v>pak</v>
          </cell>
          <cell r="AA1852">
            <v>96000</v>
          </cell>
          <cell r="AB1852" t="str">
            <v>dos</v>
          </cell>
        </row>
        <row r="1853">
          <cell r="A1853" t="str">
            <v>TANGGO250</v>
          </cell>
          <cell r="B1853" t="str">
            <v>Minuman Tanggo 250 ml</v>
          </cell>
          <cell r="C1853">
            <v>12</v>
          </cell>
          <cell r="D1853" t="str">
            <v>pcs</v>
          </cell>
          <cell r="E1853">
            <v>50800</v>
          </cell>
          <cell r="G1853">
            <v>4233.333333333333</v>
          </cell>
          <cell r="H1853">
            <v>5000</v>
          </cell>
          <cell r="I1853" t="str">
            <v>pc</v>
          </cell>
          <cell r="J1853">
            <v>5000</v>
          </cell>
          <cell r="K1853" t="str">
            <v>pc</v>
          </cell>
          <cell r="L1853">
            <v>4700</v>
          </cell>
          <cell r="M1853" t="str">
            <v>pc</v>
          </cell>
          <cell r="T1853">
            <v>54000</v>
          </cell>
          <cell r="U1853">
            <v>12</v>
          </cell>
          <cell r="V1853" t="str">
            <v>lsn</v>
          </cell>
          <cell r="W1853">
            <v>4500</v>
          </cell>
          <cell r="X1853" t="str">
            <v>pc</v>
          </cell>
          <cell r="Y1853">
            <v>4600</v>
          </cell>
          <cell r="Z1853" t="str">
            <v>pc</v>
          </cell>
          <cell r="AA1853">
            <v>54000</v>
          </cell>
          <cell r="AB1853" t="str">
            <v>dos</v>
          </cell>
        </row>
        <row r="1854">
          <cell r="A1854" t="str">
            <v>TANGGO17</v>
          </cell>
          <cell r="B1854" t="str">
            <v>Snack Tanggo 17 gr</v>
          </cell>
          <cell r="C1854">
            <v>20</v>
          </cell>
          <cell r="D1854" t="str">
            <v>pcs</v>
          </cell>
          <cell r="E1854">
            <v>15750</v>
          </cell>
          <cell r="F1854">
            <v>126000</v>
          </cell>
          <cell r="G1854">
            <v>787.5</v>
          </cell>
          <cell r="Q1854">
            <v>17500</v>
          </cell>
          <cell r="R1854">
            <v>20</v>
          </cell>
          <cell r="S1854" t="str">
            <v>pak</v>
          </cell>
          <cell r="AA1854">
            <v>98500</v>
          </cell>
          <cell r="AB1854" t="str">
            <v>dos</v>
          </cell>
        </row>
        <row r="1855">
          <cell r="A1855" t="str">
            <v>TANGGO176</v>
          </cell>
          <cell r="B1855" t="str">
            <v>Snack Tanggo 176 gr</v>
          </cell>
          <cell r="C1855">
            <v>12</v>
          </cell>
          <cell r="D1855" t="str">
            <v>pcs</v>
          </cell>
          <cell r="E1855">
            <v>110040</v>
          </cell>
          <cell r="F1855">
            <v>110040</v>
          </cell>
          <cell r="G1855">
            <v>9170</v>
          </cell>
          <cell r="H1855">
            <v>10000</v>
          </cell>
          <cell r="I1855" t="str">
            <v>pc</v>
          </cell>
          <cell r="J1855">
            <v>9500</v>
          </cell>
          <cell r="K1855" t="str">
            <v>pc</v>
          </cell>
          <cell r="L1855">
            <v>9300</v>
          </cell>
          <cell r="M1855" t="str">
            <v>pc</v>
          </cell>
          <cell r="T1855">
            <v>107000</v>
          </cell>
          <cell r="U1855">
            <v>12</v>
          </cell>
          <cell r="V1855" t="str">
            <v>lsn</v>
          </cell>
          <cell r="W1855">
            <v>8900</v>
          </cell>
          <cell r="X1855" t="str">
            <v>pcs</v>
          </cell>
          <cell r="Y1855">
            <v>9000</v>
          </cell>
          <cell r="Z1855" t="str">
            <v>pcs</v>
          </cell>
          <cell r="AA1855">
            <v>212000</v>
          </cell>
          <cell r="AB1855" t="str">
            <v>dos</v>
          </cell>
        </row>
        <row r="1856">
          <cell r="A1856" t="str">
            <v>TANGGO115</v>
          </cell>
          <cell r="B1856" t="str">
            <v>Snack Tanggo 115 gr</v>
          </cell>
          <cell r="C1856">
            <v>12</v>
          </cell>
          <cell r="D1856" t="str">
            <v>pcs</v>
          </cell>
          <cell r="E1856">
            <v>82800</v>
          </cell>
          <cell r="F1856">
            <v>82800</v>
          </cell>
          <cell r="G1856">
            <v>6900</v>
          </cell>
          <cell r="H1856">
            <v>9000</v>
          </cell>
          <cell r="I1856" t="str">
            <v>pc</v>
          </cell>
          <cell r="J1856">
            <v>8500</v>
          </cell>
          <cell r="K1856" t="str">
            <v>pc</v>
          </cell>
          <cell r="L1856">
            <v>8500</v>
          </cell>
          <cell r="M1856" t="str">
            <v>pc</v>
          </cell>
        </row>
        <row r="1857">
          <cell r="A1857" t="str">
            <v>TANGGO47</v>
          </cell>
          <cell r="B1857" t="str">
            <v>Snack Tanggo 47 gr</v>
          </cell>
          <cell r="C1857">
            <v>60</v>
          </cell>
          <cell r="D1857" t="str">
            <v>pcs</v>
          </cell>
          <cell r="E1857">
            <v>105000</v>
          </cell>
          <cell r="F1857">
            <v>21000</v>
          </cell>
          <cell r="G1857">
            <v>1750</v>
          </cell>
          <cell r="H1857">
            <v>3000</v>
          </cell>
          <cell r="I1857" t="str">
            <v>pc</v>
          </cell>
          <cell r="J1857">
            <v>2500</v>
          </cell>
          <cell r="K1857" t="str">
            <v>pc</v>
          </cell>
          <cell r="L1857">
            <v>2200</v>
          </cell>
          <cell r="M1857" t="str">
            <v>pc</v>
          </cell>
          <cell r="T1857">
            <v>24000</v>
          </cell>
          <cell r="U1857">
            <v>12</v>
          </cell>
          <cell r="V1857" t="str">
            <v>lsn</v>
          </cell>
          <cell r="W1857">
            <v>1900</v>
          </cell>
          <cell r="X1857" t="str">
            <v>pc</v>
          </cell>
          <cell r="Y1857">
            <v>2000</v>
          </cell>
          <cell r="Z1857" t="str">
            <v>pc</v>
          </cell>
        </row>
        <row r="1858">
          <cell r="A1858" t="str">
            <v>TANGGO78</v>
          </cell>
          <cell r="B1858" t="str">
            <v>Snack Tanggo 78 gr</v>
          </cell>
          <cell r="C1858">
            <v>36</v>
          </cell>
          <cell r="D1858" t="str">
            <v>pcs</v>
          </cell>
          <cell r="E1858">
            <v>138500</v>
          </cell>
          <cell r="F1858">
            <v>46166.666666666664</v>
          </cell>
          <cell r="G1858">
            <v>3847.2222222222222</v>
          </cell>
          <cell r="H1858">
            <v>5000</v>
          </cell>
          <cell r="I1858" t="str">
            <v>pc</v>
          </cell>
          <cell r="J1858">
            <v>4500</v>
          </cell>
          <cell r="K1858" t="str">
            <v>pc</v>
          </cell>
          <cell r="L1858">
            <v>4300</v>
          </cell>
          <cell r="M1858" t="str">
            <v>pc</v>
          </cell>
          <cell r="T1858">
            <v>49000</v>
          </cell>
          <cell r="U1858">
            <v>12</v>
          </cell>
          <cell r="V1858" t="str">
            <v>lsn</v>
          </cell>
          <cell r="W1858">
            <v>4000</v>
          </cell>
          <cell r="X1858" t="str">
            <v>pc</v>
          </cell>
          <cell r="Y1858">
            <v>4083.3333333333335</v>
          </cell>
          <cell r="Z1858" t="str">
            <v>pc</v>
          </cell>
        </row>
        <row r="1859">
          <cell r="A1859" t="str">
            <v>TANGGOW</v>
          </cell>
          <cell r="B1859" t="str">
            <v>Snack Tanggo Walut 18 gr</v>
          </cell>
          <cell r="C1859">
            <v>10</v>
          </cell>
          <cell r="D1859" t="str">
            <v>pcs</v>
          </cell>
          <cell r="E1859">
            <v>96000</v>
          </cell>
          <cell r="G1859">
            <v>9600</v>
          </cell>
          <cell r="Q1859">
            <v>11000</v>
          </cell>
          <cell r="S1859" t="str">
            <v>pak</v>
          </cell>
        </row>
        <row r="1860">
          <cell r="A1860" t="str">
            <v>TARO65</v>
          </cell>
          <cell r="B1860" t="str">
            <v>Snack Taro B 65  gr</v>
          </cell>
          <cell r="C1860">
            <v>30</v>
          </cell>
          <cell r="D1860" t="str">
            <v>pcs</v>
          </cell>
          <cell r="E1860">
            <v>170000</v>
          </cell>
          <cell r="F1860">
            <v>68000</v>
          </cell>
          <cell r="G1860">
            <v>5666.666666666667</v>
          </cell>
          <cell r="H1860">
            <v>7000</v>
          </cell>
          <cell r="I1860" t="str">
            <v>pc</v>
          </cell>
          <cell r="J1860">
            <v>7000</v>
          </cell>
          <cell r="K1860" t="str">
            <v>pc</v>
          </cell>
          <cell r="L1860">
            <v>6500</v>
          </cell>
          <cell r="M1860" t="str">
            <v>pc</v>
          </cell>
          <cell r="T1860">
            <v>72000</v>
          </cell>
          <cell r="U1860">
            <v>12</v>
          </cell>
          <cell r="V1860" t="str">
            <v>lsn</v>
          </cell>
          <cell r="W1860">
            <v>5900</v>
          </cell>
          <cell r="X1860" t="str">
            <v>pc</v>
          </cell>
          <cell r="Y1860">
            <v>6000</v>
          </cell>
          <cell r="Z1860" t="str">
            <v>pc</v>
          </cell>
        </row>
        <row r="1861">
          <cell r="A1861" t="str">
            <v>TARO36</v>
          </cell>
          <cell r="B1861" t="str">
            <v>Snack Taro 36 GR</v>
          </cell>
          <cell r="C1861">
            <v>36</v>
          </cell>
          <cell r="D1861" t="str">
            <v>pcs</v>
          </cell>
          <cell r="E1861">
            <v>120000</v>
          </cell>
          <cell r="F1861">
            <v>40000</v>
          </cell>
          <cell r="G1861">
            <v>3333.3333333333335</v>
          </cell>
          <cell r="H1861">
            <v>5000</v>
          </cell>
          <cell r="I1861" t="str">
            <v>pc</v>
          </cell>
          <cell r="J1861">
            <v>4500</v>
          </cell>
          <cell r="K1861" t="str">
            <v>pc</v>
          </cell>
          <cell r="L1861">
            <v>3800</v>
          </cell>
          <cell r="M1861" t="str">
            <v>pc</v>
          </cell>
          <cell r="T1861">
            <v>42500</v>
          </cell>
          <cell r="U1861">
            <v>12</v>
          </cell>
          <cell r="V1861" t="str">
            <v>lsn</v>
          </cell>
          <cell r="W1861">
            <v>3500</v>
          </cell>
          <cell r="X1861" t="str">
            <v>pc</v>
          </cell>
          <cell r="Y1861">
            <v>3600</v>
          </cell>
          <cell r="Z1861" t="str">
            <v>pc</v>
          </cell>
        </row>
        <row r="1862">
          <cell r="A1862" t="str">
            <v>TAROK</v>
          </cell>
          <cell r="B1862" t="str">
            <v>Snack Taro k</v>
          </cell>
          <cell r="C1862">
            <v>60</v>
          </cell>
          <cell r="D1862" t="str">
            <v>pcs</v>
          </cell>
          <cell r="E1862">
            <v>51000</v>
          </cell>
          <cell r="F1862">
            <v>17000</v>
          </cell>
          <cell r="G1862">
            <v>850</v>
          </cell>
          <cell r="Q1862">
            <v>18500</v>
          </cell>
          <cell r="R1862">
            <v>20</v>
          </cell>
          <cell r="S1862" t="str">
            <v>pak</v>
          </cell>
          <cell r="Z1862">
            <v>0</v>
          </cell>
          <cell r="AA1862">
            <v>54000</v>
          </cell>
          <cell r="AB1862" t="str">
            <v>dos</v>
          </cell>
        </row>
        <row r="1863">
          <cell r="A1863" t="str">
            <v>TIARA</v>
          </cell>
          <cell r="B1863" t="str">
            <v>Snack Tiara</v>
          </cell>
          <cell r="C1863">
            <v>20</v>
          </cell>
          <cell r="D1863" t="str">
            <v>pak</v>
          </cell>
          <cell r="E1863">
            <v>8750</v>
          </cell>
          <cell r="F1863">
            <v>35000</v>
          </cell>
          <cell r="G1863">
            <v>437.5</v>
          </cell>
          <cell r="Q1863">
            <v>9500</v>
          </cell>
          <cell r="R1863">
            <v>20</v>
          </cell>
          <cell r="S1863" t="str">
            <v>pak</v>
          </cell>
          <cell r="AA1863">
            <v>37500</v>
          </cell>
          <cell r="AB1863" t="str">
            <v>dos</v>
          </cell>
        </row>
        <row r="1864">
          <cell r="A1864" t="str">
            <v>Apilo</v>
          </cell>
          <cell r="B1864" t="str">
            <v>Snack Apilo</v>
          </cell>
          <cell r="C1864">
            <v>10</v>
          </cell>
          <cell r="D1864" t="str">
            <v>Pak</v>
          </cell>
          <cell r="E1864">
            <v>4416.666666666667</v>
          </cell>
          <cell r="F1864">
            <v>53000</v>
          </cell>
          <cell r="G1864">
            <v>441.66666666666669</v>
          </cell>
          <cell r="Q1864">
            <v>6000</v>
          </cell>
          <cell r="R1864">
            <v>10</v>
          </cell>
          <cell r="S1864" t="str">
            <v>pak</v>
          </cell>
          <cell r="AA1864">
            <v>55000</v>
          </cell>
          <cell r="AB1864" t="str">
            <v>dos</v>
          </cell>
        </row>
        <row r="1865">
          <cell r="A1865" t="str">
            <v>TORTILA</v>
          </cell>
          <cell r="B1865" t="str">
            <v>Snack TORTILA</v>
          </cell>
          <cell r="C1865">
            <v>10</v>
          </cell>
          <cell r="D1865" t="str">
            <v>pak</v>
          </cell>
          <cell r="E1865">
            <v>8166.666666666667</v>
          </cell>
          <cell r="F1865">
            <v>49000</v>
          </cell>
          <cell r="G1865">
            <v>816.66666666666674</v>
          </cell>
          <cell r="Q1865">
            <v>9000</v>
          </cell>
          <cell r="R1865">
            <v>10</v>
          </cell>
          <cell r="S1865" t="str">
            <v>pak</v>
          </cell>
        </row>
        <row r="1866">
          <cell r="A1866" t="str">
            <v>TIKTAKB</v>
          </cell>
          <cell r="B1866" t="str">
            <v>Snack Tik-tak 100 GR</v>
          </cell>
          <cell r="C1866">
            <v>10</v>
          </cell>
          <cell r="D1866" t="str">
            <v>pak</v>
          </cell>
          <cell r="E1866">
            <v>38800</v>
          </cell>
          <cell r="F1866">
            <v>46560</v>
          </cell>
          <cell r="G1866">
            <v>3880</v>
          </cell>
          <cell r="H1866">
            <v>5000</v>
          </cell>
          <cell r="I1866" t="str">
            <v>pc</v>
          </cell>
          <cell r="J1866">
            <v>5000</v>
          </cell>
          <cell r="K1866" t="str">
            <v>pc</v>
          </cell>
          <cell r="L1866">
            <v>5000</v>
          </cell>
          <cell r="M1866" t="str">
            <v>pc</v>
          </cell>
          <cell r="Q1866">
            <v>41000</v>
          </cell>
          <cell r="R1866">
            <v>10</v>
          </cell>
          <cell r="S1866" t="str">
            <v>pak</v>
          </cell>
        </row>
        <row r="1867">
          <cell r="A1867" t="str">
            <v>TIKTAKK</v>
          </cell>
          <cell r="B1867" t="str">
            <v>Snack Tik-tak 20 GR</v>
          </cell>
          <cell r="C1867">
            <v>10</v>
          </cell>
          <cell r="D1867" t="str">
            <v>pak</v>
          </cell>
          <cell r="E1867">
            <v>8500</v>
          </cell>
          <cell r="F1867">
            <v>51000</v>
          </cell>
          <cell r="G1867">
            <v>850</v>
          </cell>
          <cell r="Q1867">
            <v>9000</v>
          </cell>
          <cell r="R1867">
            <v>10</v>
          </cell>
          <cell r="S1867" t="str">
            <v>pak</v>
          </cell>
        </row>
        <row r="1868">
          <cell r="A1868" t="str">
            <v>TIKTAKJ</v>
          </cell>
          <cell r="B1868" t="str">
            <v>Snack Tik-tak Junior</v>
          </cell>
          <cell r="C1868">
            <v>10</v>
          </cell>
          <cell r="D1868" t="str">
            <v>pak</v>
          </cell>
          <cell r="E1868">
            <v>8000</v>
          </cell>
          <cell r="F1868">
            <v>48000</v>
          </cell>
          <cell r="G1868">
            <v>800</v>
          </cell>
          <cell r="Q1868">
            <v>9000</v>
          </cell>
          <cell r="R1868">
            <v>10</v>
          </cell>
          <cell r="S1868" t="str">
            <v>pak</v>
          </cell>
        </row>
        <row r="1869">
          <cell r="A1869" t="str">
            <v>TIMTAMM</v>
          </cell>
          <cell r="B1869" t="str">
            <v>Snack TIMTAM MAXI</v>
          </cell>
          <cell r="C1869">
            <v>12</v>
          </cell>
          <cell r="D1869" t="str">
            <v>pcs</v>
          </cell>
          <cell r="E1869">
            <v>9884.27</v>
          </cell>
          <cell r="F1869">
            <v>98842.7</v>
          </cell>
          <cell r="G1869">
            <v>823.68916666666667</v>
          </cell>
          <cell r="Q1869">
            <v>11000</v>
          </cell>
          <cell r="R1869">
            <v>12</v>
          </cell>
          <cell r="S1869" t="str">
            <v>pak</v>
          </cell>
        </row>
        <row r="1870">
          <cell r="A1870" t="str">
            <v>TIMTAMW</v>
          </cell>
          <cell r="B1870" t="str">
            <v>Snack TIMTAM WAFER</v>
          </cell>
          <cell r="C1870">
            <v>25</v>
          </cell>
          <cell r="D1870" t="str">
            <v>pcs</v>
          </cell>
          <cell r="E1870">
            <v>22250</v>
          </cell>
          <cell r="F1870">
            <v>178000</v>
          </cell>
          <cell r="G1870">
            <v>890</v>
          </cell>
          <cell r="Q1870">
            <v>23000</v>
          </cell>
          <cell r="R1870">
            <v>25</v>
          </cell>
          <cell r="S1870" t="str">
            <v>pak</v>
          </cell>
        </row>
        <row r="1871">
          <cell r="A1871" t="str">
            <v>TOMTOM</v>
          </cell>
          <cell r="B1871" t="str">
            <v>Snack TOM-TOM COOKIES</v>
          </cell>
          <cell r="C1871">
            <v>20</v>
          </cell>
          <cell r="D1871" t="str">
            <v>pak</v>
          </cell>
          <cell r="E1871">
            <v>8100</v>
          </cell>
          <cell r="F1871">
            <v>81000</v>
          </cell>
          <cell r="G1871">
            <v>405</v>
          </cell>
          <cell r="Q1871">
            <v>9000</v>
          </cell>
          <cell r="R1871">
            <v>20</v>
          </cell>
          <cell r="S1871" t="str">
            <v>pak</v>
          </cell>
        </row>
        <row r="1872">
          <cell r="A1872" t="str">
            <v>TOPB</v>
          </cell>
          <cell r="B1872" t="str">
            <v>Snack Top Delfi BESAR</v>
          </cell>
          <cell r="C1872">
            <v>24</v>
          </cell>
          <cell r="D1872" t="str">
            <v>pak</v>
          </cell>
          <cell r="E1872">
            <v>18480</v>
          </cell>
          <cell r="F1872">
            <v>110880</v>
          </cell>
          <cell r="G1872">
            <v>770</v>
          </cell>
          <cell r="Q1872">
            <v>20000</v>
          </cell>
          <cell r="R1872">
            <v>24</v>
          </cell>
          <cell r="S1872" t="str">
            <v>pak</v>
          </cell>
        </row>
        <row r="1873">
          <cell r="A1873" t="str">
            <v>TWISBAL</v>
          </cell>
          <cell r="B1873" t="str">
            <v>Snack Twisbal</v>
          </cell>
          <cell r="C1873">
            <v>40</v>
          </cell>
          <cell r="D1873" t="str">
            <v>pak</v>
          </cell>
          <cell r="E1873">
            <v>34000</v>
          </cell>
          <cell r="F1873">
            <v>17000</v>
          </cell>
          <cell r="G1873">
            <v>850</v>
          </cell>
          <cell r="Q1873">
            <v>18000</v>
          </cell>
          <cell r="R1873">
            <v>20</v>
          </cell>
          <cell r="S1873" t="str">
            <v>pak</v>
          </cell>
        </row>
        <row r="1874">
          <cell r="A1874" t="str">
            <v>TWISKO</v>
          </cell>
          <cell r="B1874" t="str">
            <v>Snack Twisko</v>
          </cell>
          <cell r="C1874">
            <v>40</v>
          </cell>
          <cell r="D1874" t="str">
            <v>pak</v>
          </cell>
          <cell r="E1874">
            <v>34000</v>
          </cell>
          <cell r="F1874">
            <v>34000</v>
          </cell>
          <cell r="G1874">
            <v>850</v>
          </cell>
          <cell r="Q1874">
            <v>18000</v>
          </cell>
          <cell r="R1874">
            <v>20</v>
          </cell>
          <cell r="S1874" t="str">
            <v>pak</v>
          </cell>
        </row>
        <row r="1875">
          <cell r="A1875" t="str">
            <v>VANELO</v>
          </cell>
          <cell r="B1875" t="str">
            <v>Snack Vanelo</v>
          </cell>
          <cell r="C1875">
            <v>24</v>
          </cell>
          <cell r="D1875" t="str">
            <v>pak</v>
          </cell>
          <cell r="E1875">
            <v>18750</v>
          </cell>
          <cell r="F1875">
            <v>112500</v>
          </cell>
          <cell r="G1875">
            <v>781.25</v>
          </cell>
          <cell r="Q1875">
            <v>21000</v>
          </cell>
          <cell r="R1875">
            <v>24</v>
          </cell>
          <cell r="S1875" t="str">
            <v>pak</v>
          </cell>
        </row>
        <row r="1876">
          <cell r="A1876" t="str">
            <v>WAFELATOS20</v>
          </cell>
          <cell r="B1876" t="str">
            <v xml:space="preserve">Snack Wafelatos Besar COKLAT </v>
          </cell>
          <cell r="C1876">
            <v>20</v>
          </cell>
          <cell r="D1876" t="str">
            <v>pak</v>
          </cell>
          <cell r="E1876">
            <v>15899.949999999999</v>
          </cell>
          <cell r="F1876">
            <v>95399.7</v>
          </cell>
          <cell r="G1876">
            <v>794.99749999999995</v>
          </cell>
          <cell r="H1876">
            <v>1000</v>
          </cell>
          <cell r="I1876" t="str">
            <v>PC</v>
          </cell>
          <cell r="J1876">
            <v>1000</v>
          </cell>
          <cell r="K1876" t="str">
            <v>PC</v>
          </cell>
          <cell r="L1876">
            <v>1000</v>
          </cell>
          <cell r="M1876" t="str">
            <v>PC</v>
          </cell>
          <cell r="Q1876">
            <v>17500</v>
          </cell>
          <cell r="R1876">
            <v>20</v>
          </cell>
          <cell r="S1876" t="str">
            <v>pak</v>
          </cell>
        </row>
        <row r="1877">
          <cell r="A1877" t="str">
            <v>DEKAB</v>
          </cell>
          <cell r="B1877" t="str">
            <v>Snack Wafer Deka BESAR</v>
          </cell>
          <cell r="C1877">
            <v>20</v>
          </cell>
          <cell r="D1877" t="str">
            <v>pak</v>
          </cell>
          <cell r="E1877">
            <v>16500</v>
          </cell>
          <cell r="F1877">
            <v>99000</v>
          </cell>
          <cell r="G1877">
            <v>825</v>
          </cell>
          <cell r="Q1877">
            <v>17500</v>
          </cell>
          <cell r="R1877">
            <v>20</v>
          </cell>
          <cell r="S1877" t="str">
            <v>pak</v>
          </cell>
        </row>
        <row r="1878">
          <cell r="A1878" t="str">
            <v>DEKAK</v>
          </cell>
          <cell r="B1878" t="str">
            <v>Snack Wafer Deka KECIL</v>
          </cell>
          <cell r="C1878">
            <v>24</v>
          </cell>
          <cell r="D1878" t="str">
            <v>pak</v>
          </cell>
          <cell r="E1878">
            <v>10000</v>
          </cell>
          <cell r="F1878">
            <v>57000</v>
          </cell>
          <cell r="G1878">
            <v>416.66666666666669</v>
          </cell>
          <cell r="Q1878">
            <v>11000</v>
          </cell>
          <cell r="R1878">
            <v>24</v>
          </cell>
          <cell r="S1878" t="str">
            <v>pak</v>
          </cell>
        </row>
        <row r="1879">
          <cell r="A1879" t="str">
            <v>YOUKA</v>
          </cell>
          <cell r="B1879" t="str">
            <v>Snack Youka Spageti / Roll / Rainbow</v>
          </cell>
          <cell r="C1879">
            <v>20</v>
          </cell>
          <cell r="D1879" t="str">
            <v>pak</v>
          </cell>
          <cell r="E1879">
            <v>8555.5555555555547</v>
          </cell>
          <cell r="F1879">
            <v>308000</v>
          </cell>
          <cell r="G1879">
            <v>427.77777777777771</v>
          </cell>
          <cell r="Q1879">
            <v>9500</v>
          </cell>
          <cell r="S1879" t="str">
            <v>pak</v>
          </cell>
        </row>
        <row r="1880">
          <cell r="A1880" t="str">
            <v>ZUPERW</v>
          </cell>
          <cell r="B1880" t="str">
            <v>Snack Zuper Wafer Keju</v>
          </cell>
          <cell r="C1880">
            <v>20</v>
          </cell>
          <cell r="D1880" t="str">
            <v>pak</v>
          </cell>
          <cell r="E1880">
            <v>8360</v>
          </cell>
          <cell r="F1880">
            <v>83600</v>
          </cell>
          <cell r="G1880">
            <v>418</v>
          </cell>
          <cell r="Q1880">
            <v>10000</v>
          </cell>
          <cell r="R1880">
            <v>20</v>
          </cell>
          <cell r="S1880" t="str">
            <v>pak</v>
          </cell>
        </row>
        <row r="1881">
          <cell r="A1881" t="str">
            <v>ZUPERM</v>
          </cell>
          <cell r="B1881" t="str">
            <v xml:space="preserve">Snack Zuper Malkis Keju </v>
          </cell>
          <cell r="C1881">
            <v>10</v>
          </cell>
          <cell r="D1881" t="str">
            <v>pak</v>
          </cell>
          <cell r="E1881">
            <v>8200.0416666666661</v>
          </cell>
          <cell r="F1881">
            <v>98400.5</v>
          </cell>
          <cell r="G1881">
            <v>820.00416666666661</v>
          </cell>
          <cell r="Q1881">
            <v>9000</v>
          </cell>
          <cell r="R1881">
            <v>10</v>
          </cell>
          <cell r="S1881" t="str">
            <v>pak</v>
          </cell>
        </row>
        <row r="1882">
          <cell r="A1882" t="str">
            <v>ZUPERF</v>
          </cell>
          <cell r="B1882" t="str">
            <v>Snack Zuper Malkis Keju Family</v>
          </cell>
          <cell r="C1882">
            <v>6</v>
          </cell>
          <cell r="D1882" t="str">
            <v>pak</v>
          </cell>
          <cell r="E1882">
            <v>32000</v>
          </cell>
          <cell r="F1882">
            <v>160000</v>
          </cell>
          <cell r="G1882">
            <v>5333.333333333333</v>
          </cell>
          <cell r="H1882">
            <v>6500</v>
          </cell>
          <cell r="I1882" t="str">
            <v>pc</v>
          </cell>
          <cell r="J1882">
            <v>6300</v>
          </cell>
          <cell r="K1882" t="str">
            <v>pc</v>
          </cell>
          <cell r="L1882">
            <v>5900</v>
          </cell>
          <cell r="M1882" t="str">
            <v>pc</v>
          </cell>
          <cell r="Q1882">
            <v>35000</v>
          </cell>
          <cell r="R1882">
            <v>6</v>
          </cell>
          <cell r="S1882" t="str">
            <v>pak</v>
          </cell>
          <cell r="Y1882">
            <v>5833.333333333333</v>
          </cell>
          <cell r="Z1882" t="str">
            <v>pc</v>
          </cell>
        </row>
        <row r="1883">
          <cell r="A1883" t="str">
            <v>ZYLUC</v>
          </cell>
          <cell r="B1883" t="str">
            <v>Snack ZYLUC</v>
          </cell>
          <cell r="C1883">
            <v>20</v>
          </cell>
          <cell r="D1883" t="str">
            <v>pak</v>
          </cell>
          <cell r="E1883">
            <v>33333.333333333336</v>
          </cell>
          <cell r="F1883">
            <v>200000</v>
          </cell>
          <cell r="G1883">
            <v>1666.6666666666667</v>
          </cell>
        </row>
        <row r="1884">
          <cell r="A1884" t="str">
            <v>gemez</v>
          </cell>
          <cell r="B1884" t="str">
            <v>Snak Gemes</v>
          </cell>
          <cell r="C1884">
            <v>20</v>
          </cell>
          <cell r="D1884" t="str">
            <v>Pak</v>
          </cell>
          <cell r="E1884">
            <v>8400</v>
          </cell>
          <cell r="F1884">
            <v>42000</v>
          </cell>
          <cell r="G1884">
            <v>420</v>
          </cell>
          <cell r="Q1884">
            <v>9500</v>
          </cell>
          <cell r="R1884">
            <v>20</v>
          </cell>
          <cell r="S1884" t="str">
            <v>Pak</v>
          </cell>
          <cell r="AA1884">
            <v>43000</v>
          </cell>
          <cell r="AB1884" t="str">
            <v>dos</v>
          </cell>
        </row>
        <row r="1885">
          <cell r="A1885" t="str">
            <v>miku</v>
          </cell>
          <cell r="B1885" t="str">
            <v>Snak Miku</v>
          </cell>
          <cell r="C1885">
            <v>10</v>
          </cell>
          <cell r="D1885" t="str">
            <v>Pak</v>
          </cell>
          <cell r="E1885">
            <v>7000</v>
          </cell>
          <cell r="F1885">
            <v>35000</v>
          </cell>
          <cell r="G1885">
            <v>700</v>
          </cell>
          <cell r="Q1885">
            <v>8000</v>
          </cell>
          <cell r="R1885">
            <v>10</v>
          </cell>
          <cell r="S1885" t="str">
            <v>Pak</v>
          </cell>
          <cell r="AA1885">
            <v>36000</v>
          </cell>
          <cell r="AB1885" t="str">
            <v>Dos</v>
          </cell>
        </row>
        <row r="1886">
          <cell r="A1886" t="str">
            <v>SODAKUEP</v>
          </cell>
          <cell r="B1886" t="str">
            <v>Soda Kue Bukusan</v>
          </cell>
          <cell r="C1886">
            <v>24</v>
          </cell>
          <cell r="D1886" t="str">
            <v>pcs</v>
          </cell>
          <cell r="E1886">
            <v>15000</v>
          </cell>
          <cell r="G1886">
            <v>625</v>
          </cell>
          <cell r="H1886">
            <v>1500</v>
          </cell>
          <cell r="I1886" t="str">
            <v>pc</v>
          </cell>
          <cell r="J1886">
            <v>1500</v>
          </cell>
          <cell r="K1886" t="str">
            <v>pc</v>
          </cell>
          <cell r="L1886">
            <v>1500</v>
          </cell>
          <cell r="M1886" t="str">
            <v>pc</v>
          </cell>
        </row>
        <row r="1887">
          <cell r="A1887" t="str">
            <v>SODAKUEB</v>
          </cell>
          <cell r="B1887" t="str">
            <v>Soda Kue Kecil</v>
          </cell>
          <cell r="C1887">
            <v>12</v>
          </cell>
          <cell r="D1887" t="str">
            <v>pcs</v>
          </cell>
          <cell r="E1887">
            <v>17000</v>
          </cell>
          <cell r="G1887">
            <v>1416.6666666666667</v>
          </cell>
          <cell r="H1887">
            <v>3500</v>
          </cell>
          <cell r="I1887" t="str">
            <v>pc</v>
          </cell>
          <cell r="J1887">
            <v>3500</v>
          </cell>
          <cell r="K1887" t="str">
            <v>pc</v>
          </cell>
          <cell r="L1887">
            <v>3500</v>
          </cell>
          <cell r="M1887" t="str">
            <v>pc</v>
          </cell>
        </row>
        <row r="1888">
          <cell r="A1888" t="str">
            <v>CLINGR</v>
          </cell>
          <cell r="B1888" t="str">
            <v>CLING Pembersih Kaca Refill 425 ML</v>
          </cell>
          <cell r="C1888">
            <v>12</v>
          </cell>
          <cell r="D1888" t="str">
            <v>pcs</v>
          </cell>
          <cell r="E1888">
            <v>39000</v>
          </cell>
          <cell r="G1888">
            <v>3250</v>
          </cell>
          <cell r="H1888">
            <v>5000</v>
          </cell>
          <cell r="I1888" t="str">
            <v>pc</v>
          </cell>
          <cell r="J1888">
            <v>4500</v>
          </cell>
          <cell r="K1888" t="str">
            <v>pc</v>
          </cell>
          <cell r="L1888">
            <v>3800</v>
          </cell>
          <cell r="M1888" t="str">
            <v>pc</v>
          </cell>
          <cell r="T1888">
            <v>42000</v>
          </cell>
          <cell r="U1888">
            <v>12</v>
          </cell>
          <cell r="V1888" t="str">
            <v>lsn</v>
          </cell>
          <cell r="W1888">
            <v>3400</v>
          </cell>
          <cell r="X1888" t="str">
            <v>pc</v>
          </cell>
          <cell r="Y1888">
            <v>3500</v>
          </cell>
          <cell r="Z1888" t="str">
            <v>pc</v>
          </cell>
        </row>
        <row r="1889">
          <cell r="A1889" t="str">
            <v>CLINGB</v>
          </cell>
          <cell r="B1889" t="str">
            <v>CLING Pembersih Kaca Botol</v>
          </cell>
          <cell r="C1889">
            <v>12</v>
          </cell>
          <cell r="D1889" t="str">
            <v>pcs</v>
          </cell>
          <cell r="E1889">
            <v>91200</v>
          </cell>
          <cell r="G1889">
            <v>7600</v>
          </cell>
          <cell r="H1889">
            <v>9000</v>
          </cell>
          <cell r="I1889" t="str">
            <v>pc</v>
          </cell>
          <cell r="J1889">
            <v>9000</v>
          </cell>
          <cell r="K1889" t="str">
            <v>pc</v>
          </cell>
          <cell r="L1889">
            <v>8500</v>
          </cell>
          <cell r="M1889" t="str">
            <v>pc</v>
          </cell>
        </row>
        <row r="1890">
          <cell r="A1890" t="str">
            <v>PEMUTIH100</v>
          </cell>
          <cell r="B1890" t="str">
            <v>Soklin Pemutih 100 ml</v>
          </cell>
          <cell r="C1890">
            <v>48</v>
          </cell>
          <cell r="D1890" t="str">
            <v>pcs</v>
          </cell>
          <cell r="E1890">
            <v>63408</v>
          </cell>
          <cell r="F1890">
            <v>15852</v>
          </cell>
          <cell r="G1890">
            <v>1321</v>
          </cell>
          <cell r="H1890">
            <v>2500</v>
          </cell>
          <cell r="I1890" t="str">
            <v>pc</v>
          </cell>
          <cell r="J1890">
            <v>2500</v>
          </cell>
          <cell r="K1890" t="str">
            <v>pc</v>
          </cell>
          <cell r="L1890">
            <v>2000</v>
          </cell>
          <cell r="M1890" t="str">
            <v>pc</v>
          </cell>
          <cell r="T1890">
            <v>18000</v>
          </cell>
          <cell r="U1890">
            <v>12</v>
          </cell>
          <cell r="V1890" t="str">
            <v>lsn</v>
          </cell>
          <cell r="W1890">
            <v>1400</v>
          </cell>
          <cell r="X1890" t="str">
            <v>pc</v>
          </cell>
          <cell r="Y1890">
            <v>1500</v>
          </cell>
          <cell r="Z1890" t="str">
            <v>pc</v>
          </cell>
        </row>
        <row r="1891">
          <cell r="A1891" t="str">
            <v>PEMUTIH1000</v>
          </cell>
          <cell r="B1891" t="str">
            <v>Soklin Pemutih 1000 ml</v>
          </cell>
          <cell r="C1891">
            <v>6</v>
          </cell>
          <cell r="D1891" t="str">
            <v>pcs</v>
          </cell>
          <cell r="E1891">
            <v>50472</v>
          </cell>
          <cell r="F1891">
            <v>100944</v>
          </cell>
          <cell r="G1891">
            <v>8412</v>
          </cell>
          <cell r="H1891">
            <v>10000</v>
          </cell>
          <cell r="I1891" t="str">
            <v>btl</v>
          </cell>
          <cell r="J1891">
            <v>10000</v>
          </cell>
          <cell r="K1891" t="str">
            <v>btl</v>
          </cell>
          <cell r="L1891">
            <v>9500</v>
          </cell>
          <cell r="M1891" t="str">
            <v>btl</v>
          </cell>
        </row>
        <row r="1892">
          <cell r="A1892" t="str">
            <v>PEMUTIH250</v>
          </cell>
          <cell r="B1892" t="str">
            <v>Soklin Pemutih 250 ml</v>
          </cell>
          <cell r="C1892">
            <v>12</v>
          </cell>
          <cell r="D1892" t="str">
            <v>pcs</v>
          </cell>
          <cell r="E1892">
            <v>28500</v>
          </cell>
          <cell r="F1892">
            <v>28500</v>
          </cell>
          <cell r="G1892">
            <v>2375</v>
          </cell>
          <cell r="H1892">
            <v>4000</v>
          </cell>
          <cell r="I1892" t="str">
            <v>btl</v>
          </cell>
          <cell r="J1892">
            <v>3700</v>
          </cell>
          <cell r="K1892" t="str">
            <v>btl</v>
          </cell>
          <cell r="L1892">
            <v>3500</v>
          </cell>
          <cell r="M1892" t="str">
            <v>btl</v>
          </cell>
          <cell r="T1892">
            <v>32000</v>
          </cell>
          <cell r="U1892">
            <v>12</v>
          </cell>
          <cell r="V1892" t="str">
            <v>lsn</v>
          </cell>
          <cell r="W1892">
            <v>2600</v>
          </cell>
          <cell r="X1892" t="str">
            <v>btl</v>
          </cell>
          <cell r="Y1892">
            <v>2700</v>
          </cell>
          <cell r="Z1892" t="str">
            <v>btl</v>
          </cell>
        </row>
        <row r="1893">
          <cell r="A1893" t="str">
            <v>PEMUTIH500</v>
          </cell>
          <cell r="B1893" t="str">
            <v>Soklin Pemutih 500 ml</v>
          </cell>
          <cell r="C1893">
            <v>12</v>
          </cell>
          <cell r="D1893" t="str">
            <v>pcs</v>
          </cell>
          <cell r="E1893">
            <v>54000</v>
          </cell>
          <cell r="G1893">
            <v>4500</v>
          </cell>
          <cell r="H1893">
            <v>6000</v>
          </cell>
          <cell r="I1893" t="str">
            <v>btl</v>
          </cell>
          <cell r="J1893">
            <v>5500</v>
          </cell>
          <cell r="K1893" t="str">
            <v>btl</v>
          </cell>
          <cell r="L1893">
            <v>4900</v>
          </cell>
          <cell r="M1893" t="str">
            <v>btl</v>
          </cell>
          <cell r="T1893">
            <v>57000</v>
          </cell>
          <cell r="U1893">
            <v>12</v>
          </cell>
          <cell r="V1893" t="str">
            <v>lsn</v>
          </cell>
          <cell r="W1893">
            <v>4700</v>
          </cell>
          <cell r="X1893" t="str">
            <v>btl</v>
          </cell>
          <cell r="Y1893">
            <v>4750</v>
          </cell>
          <cell r="Z1893" t="str">
            <v>btl</v>
          </cell>
        </row>
        <row r="1894">
          <cell r="A1894" t="str">
            <v>SMART800</v>
          </cell>
          <cell r="B1894" t="str">
            <v>Soklin Smart 800 gr</v>
          </cell>
          <cell r="C1894">
            <v>6</v>
          </cell>
          <cell r="D1894" t="str">
            <v>pcs</v>
          </cell>
          <cell r="E1894">
            <v>111780</v>
          </cell>
          <cell r="G1894">
            <v>18630</v>
          </cell>
          <cell r="H1894">
            <v>20000</v>
          </cell>
          <cell r="I1894" t="str">
            <v>pc</v>
          </cell>
          <cell r="J1894">
            <v>20000</v>
          </cell>
          <cell r="K1894" t="str">
            <v>pc</v>
          </cell>
          <cell r="L1894">
            <v>19500</v>
          </cell>
          <cell r="M1894" t="str">
            <v>pc</v>
          </cell>
          <cell r="W1894">
            <v>18600</v>
          </cell>
          <cell r="X1894" t="str">
            <v>pc</v>
          </cell>
          <cell r="Y1894">
            <v>18700</v>
          </cell>
          <cell r="Z1894" t="str">
            <v>pcs</v>
          </cell>
          <cell r="AA1894">
            <v>113000</v>
          </cell>
          <cell r="AB1894" t="str">
            <v>dos</v>
          </cell>
        </row>
        <row r="1895">
          <cell r="A1895" t="str">
            <v>SOKLIN300</v>
          </cell>
          <cell r="B1895" t="str">
            <v>Soklin 300 gr</v>
          </cell>
          <cell r="C1895">
            <v>22</v>
          </cell>
          <cell r="D1895" t="str">
            <v>pcs</v>
          </cell>
          <cell r="E1895">
            <v>99000</v>
          </cell>
          <cell r="F1895">
            <v>54000</v>
          </cell>
          <cell r="G1895">
            <v>4500</v>
          </cell>
          <cell r="H1895">
            <v>5500</v>
          </cell>
          <cell r="I1895" t="str">
            <v>pc</v>
          </cell>
          <cell r="J1895">
            <v>5300</v>
          </cell>
          <cell r="K1895" t="str">
            <v>pc</v>
          </cell>
          <cell r="L1895">
            <v>4950</v>
          </cell>
          <cell r="M1895" t="str">
            <v>pc</v>
          </cell>
          <cell r="T1895">
            <v>57000</v>
          </cell>
          <cell r="U1895">
            <v>12</v>
          </cell>
          <cell r="V1895" t="str">
            <v>lsn</v>
          </cell>
          <cell r="W1895">
            <v>4700</v>
          </cell>
          <cell r="X1895" t="str">
            <v>pc</v>
          </cell>
          <cell r="Y1895">
            <v>4750</v>
          </cell>
          <cell r="Z1895" t="str">
            <v>pcs</v>
          </cell>
        </row>
        <row r="1896">
          <cell r="A1896" t="str">
            <v>SOKLINR</v>
          </cell>
          <cell r="B1896" t="str">
            <v>Soklin CAIR RENTENG</v>
          </cell>
          <cell r="C1896">
            <v>6</v>
          </cell>
          <cell r="D1896" t="str">
            <v>pcs</v>
          </cell>
          <cell r="E1896">
            <v>4950</v>
          </cell>
          <cell r="F1896">
            <v>19800</v>
          </cell>
          <cell r="G1896">
            <v>825</v>
          </cell>
          <cell r="N1896">
            <v>5500</v>
          </cell>
          <cell r="P1896" t="str">
            <v>rtg</v>
          </cell>
        </row>
        <row r="1897">
          <cell r="A1897" t="str">
            <v>STELAG</v>
          </cell>
          <cell r="B1897" t="str">
            <v>Stela Gantung</v>
          </cell>
          <cell r="C1897">
            <v>18</v>
          </cell>
          <cell r="D1897" t="str">
            <v>pcs</v>
          </cell>
          <cell r="E1897">
            <v>158000</v>
          </cell>
          <cell r="F1897">
            <v>105333.33333333333</v>
          </cell>
          <cell r="G1897">
            <v>8777.7777777777774</v>
          </cell>
          <cell r="H1897">
            <v>10000</v>
          </cell>
          <cell r="I1897" t="str">
            <v>pc</v>
          </cell>
          <cell r="J1897">
            <v>9500</v>
          </cell>
          <cell r="K1897" t="str">
            <v>pc</v>
          </cell>
          <cell r="L1897">
            <v>9200</v>
          </cell>
          <cell r="M1897" t="str">
            <v>pc</v>
          </cell>
          <cell r="T1897">
            <v>108500</v>
          </cell>
          <cell r="U1897">
            <v>12</v>
          </cell>
          <cell r="V1897" t="str">
            <v>lsn</v>
          </cell>
          <cell r="W1897">
            <v>9000</v>
          </cell>
          <cell r="X1897" t="str">
            <v>pc</v>
          </cell>
          <cell r="Y1897">
            <v>9100</v>
          </cell>
          <cell r="Z1897" t="str">
            <v>pc</v>
          </cell>
        </row>
        <row r="1898">
          <cell r="A1898" t="str">
            <v>STELA250</v>
          </cell>
          <cell r="B1898" t="str">
            <v>Stela Semprot 250 ml</v>
          </cell>
          <cell r="C1898">
            <v>12</v>
          </cell>
          <cell r="D1898" t="str">
            <v>pcs</v>
          </cell>
          <cell r="E1898">
            <v>156000</v>
          </cell>
          <cell r="F1898">
            <v>156000</v>
          </cell>
          <cell r="G1898">
            <v>13000</v>
          </cell>
          <cell r="H1898">
            <v>14500</v>
          </cell>
          <cell r="I1898" t="str">
            <v>pc</v>
          </cell>
          <cell r="J1898">
            <v>14500</v>
          </cell>
          <cell r="K1898" t="str">
            <v>pc</v>
          </cell>
          <cell r="L1898">
            <v>14500</v>
          </cell>
          <cell r="M1898" t="str">
            <v>pc</v>
          </cell>
          <cell r="T1898">
            <v>159000</v>
          </cell>
          <cell r="U1898">
            <v>12</v>
          </cell>
          <cell r="V1898" t="str">
            <v>lsn</v>
          </cell>
          <cell r="W1898">
            <v>13300</v>
          </cell>
          <cell r="X1898" t="str">
            <v>pc</v>
          </cell>
          <cell r="Y1898">
            <v>13500</v>
          </cell>
          <cell r="Z1898" t="str">
            <v>pc</v>
          </cell>
        </row>
        <row r="1899">
          <cell r="A1899" t="str">
            <v>STELA400</v>
          </cell>
          <cell r="B1899" t="str">
            <v>Stela Semprot 400 ml</v>
          </cell>
          <cell r="C1899">
            <v>6</v>
          </cell>
          <cell r="D1899" t="str">
            <v>pcs</v>
          </cell>
          <cell r="E1899">
            <v>108000</v>
          </cell>
          <cell r="F1899">
            <v>216000</v>
          </cell>
          <cell r="G1899">
            <v>18000</v>
          </cell>
          <cell r="H1899">
            <v>20000</v>
          </cell>
          <cell r="I1899" t="str">
            <v>pc</v>
          </cell>
          <cell r="J1899">
            <v>20000</v>
          </cell>
          <cell r="K1899" t="str">
            <v>pc</v>
          </cell>
          <cell r="L1899">
            <v>20000</v>
          </cell>
          <cell r="M1899" t="str">
            <v>pc</v>
          </cell>
          <cell r="T1899">
            <v>219000</v>
          </cell>
          <cell r="U1899">
            <v>12</v>
          </cell>
          <cell r="V1899" t="str">
            <v>lsn</v>
          </cell>
          <cell r="W1899">
            <v>18300</v>
          </cell>
          <cell r="X1899" t="str">
            <v>pc</v>
          </cell>
          <cell r="Y1899">
            <v>18500</v>
          </cell>
          <cell r="Z1899" t="str">
            <v>pc</v>
          </cell>
        </row>
        <row r="1900">
          <cell r="A1900" t="str">
            <v>STIK</v>
          </cell>
          <cell r="B1900" t="str">
            <v>Stik Durian</v>
          </cell>
          <cell r="C1900">
            <v>4</v>
          </cell>
          <cell r="D1900" t="str">
            <v>kg</v>
          </cell>
          <cell r="E1900">
            <v>76000</v>
          </cell>
          <cell r="G1900">
            <v>19000</v>
          </cell>
        </row>
        <row r="1901">
          <cell r="A1901" t="str">
            <v>SUKRO140</v>
          </cell>
          <cell r="B1901" t="str">
            <v>SUKRO 140 GR</v>
          </cell>
          <cell r="C1901">
            <v>10</v>
          </cell>
          <cell r="D1901" t="str">
            <v>pak</v>
          </cell>
          <cell r="E1901">
            <v>59000</v>
          </cell>
          <cell r="G1901">
            <v>5900</v>
          </cell>
          <cell r="H1901">
            <v>7000</v>
          </cell>
          <cell r="I1901" t="str">
            <v>pc</v>
          </cell>
          <cell r="J1901">
            <v>6700</v>
          </cell>
          <cell r="K1901" t="str">
            <v>pc</v>
          </cell>
          <cell r="L1901">
            <v>6500</v>
          </cell>
          <cell r="M1901" t="str">
            <v>pc</v>
          </cell>
          <cell r="Q1901">
            <v>61500</v>
          </cell>
          <cell r="R1901">
            <v>10</v>
          </cell>
          <cell r="S1901" t="str">
            <v>pak</v>
          </cell>
          <cell r="W1901">
            <v>6200</v>
          </cell>
          <cell r="X1901" t="str">
            <v>pc</v>
          </cell>
          <cell r="Y1901">
            <v>6400</v>
          </cell>
          <cell r="Z1901" t="str">
            <v>pc</v>
          </cell>
        </row>
        <row r="1902">
          <cell r="A1902" t="str">
            <v>SUKRO70</v>
          </cell>
          <cell r="B1902" t="str">
            <v>SUKRO 70 GR</v>
          </cell>
          <cell r="C1902">
            <v>10</v>
          </cell>
          <cell r="D1902" t="str">
            <v>pak</v>
          </cell>
          <cell r="E1902">
            <v>40000</v>
          </cell>
          <cell r="G1902">
            <v>4000</v>
          </cell>
          <cell r="H1902">
            <v>5000</v>
          </cell>
          <cell r="I1902" t="str">
            <v>pc</v>
          </cell>
          <cell r="J1902">
            <v>4500</v>
          </cell>
          <cell r="K1902" t="str">
            <v>pc</v>
          </cell>
          <cell r="L1902">
            <v>4300</v>
          </cell>
          <cell r="M1902" t="str">
            <v>pc</v>
          </cell>
          <cell r="Q1902">
            <v>42000</v>
          </cell>
          <cell r="R1902">
            <v>10</v>
          </cell>
          <cell r="S1902" t="str">
            <v>pak</v>
          </cell>
          <cell r="W1902">
            <v>4150</v>
          </cell>
          <cell r="X1902" t="str">
            <v>pc</v>
          </cell>
          <cell r="Y1902">
            <v>4200</v>
          </cell>
          <cell r="Z1902" t="str">
            <v>pc</v>
          </cell>
        </row>
        <row r="1903">
          <cell r="A1903" t="str">
            <v>SUMBA</v>
          </cell>
          <cell r="B1903" t="str">
            <v>Sumba Kotak Betet</v>
          </cell>
          <cell r="C1903">
            <v>10</v>
          </cell>
          <cell r="D1903" t="str">
            <v>pak</v>
          </cell>
          <cell r="E1903">
            <v>16000</v>
          </cell>
          <cell r="F1903">
            <v>16000</v>
          </cell>
          <cell r="G1903">
            <v>1600</v>
          </cell>
          <cell r="H1903">
            <v>2000</v>
          </cell>
          <cell r="I1903" t="str">
            <v>pc</v>
          </cell>
          <cell r="J1903">
            <v>2000</v>
          </cell>
          <cell r="K1903" t="str">
            <v>pc</v>
          </cell>
          <cell r="L1903">
            <v>2000</v>
          </cell>
          <cell r="M1903" t="str">
            <v>pc</v>
          </cell>
          <cell r="Q1903">
            <v>18000</v>
          </cell>
          <cell r="R1903">
            <v>10</v>
          </cell>
          <cell r="S1903" t="str">
            <v>pak</v>
          </cell>
        </row>
        <row r="1904">
          <cell r="A1904" t="str">
            <v>SUN</v>
          </cell>
          <cell r="B1904" t="str">
            <v>Sun Beras Merah</v>
          </cell>
          <cell r="C1904">
            <v>24</v>
          </cell>
          <cell r="D1904" t="str">
            <v>ktk</v>
          </cell>
          <cell r="E1904">
            <v>167000</v>
          </cell>
          <cell r="F1904">
            <v>83500</v>
          </cell>
          <cell r="G1904">
            <v>6958.333333333333</v>
          </cell>
          <cell r="H1904">
            <v>8000</v>
          </cell>
          <cell r="I1904" t="str">
            <v>pc</v>
          </cell>
          <cell r="J1904">
            <v>7800</v>
          </cell>
          <cell r="K1904" t="str">
            <v>pc</v>
          </cell>
          <cell r="L1904">
            <v>7700</v>
          </cell>
          <cell r="M1904" t="str">
            <v>pc</v>
          </cell>
          <cell r="T1904">
            <v>89000</v>
          </cell>
          <cell r="U1904">
            <v>12</v>
          </cell>
          <cell r="V1904" t="str">
            <v>lsn</v>
          </cell>
          <cell r="W1904">
            <v>7400</v>
          </cell>
          <cell r="X1904" t="str">
            <v>pc</v>
          </cell>
          <cell r="Y1904">
            <v>7500</v>
          </cell>
          <cell r="Z1904" t="str">
            <v>pc</v>
          </cell>
        </row>
        <row r="1905">
          <cell r="A1905" t="str">
            <v>MAMA1600</v>
          </cell>
          <cell r="B1905" t="str">
            <v>Mama Lemon 1600 ml</v>
          </cell>
          <cell r="C1905">
            <v>6</v>
          </cell>
          <cell r="D1905" t="str">
            <v>pcs</v>
          </cell>
          <cell r="E1905">
            <v>160500</v>
          </cell>
          <cell r="G1905">
            <v>26750</v>
          </cell>
          <cell r="H1905">
            <v>29000</v>
          </cell>
          <cell r="I1905" t="str">
            <v>pc</v>
          </cell>
          <cell r="J1905">
            <v>28500</v>
          </cell>
          <cell r="K1905" t="str">
            <v>pc</v>
          </cell>
          <cell r="L1905">
            <v>28000</v>
          </cell>
          <cell r="M1905" t="str">
            <v>pc</v>
          </cell>
        </row>
        <row r="1906">
          <cell r="A1906" t="str">
            <v>MAMA780R</v>
          </cell>
          <cell r="B1906" t="str">
            <v>Mama Lemon 780 ml REFILL</v>
          </cell>
          <cell r="C1906">
            <v>12</v>
          </cell>
          <cell r="D1906" t="str">
            <v>pcs</v>
          </cell>
          <cell r="E1906">
            <v>165000</v>
          </cell>
          <cell r="G1906">
            <v>13750</v>
          </cell>
          <cell r="H1906">
            <v>16000</v>
          </cell>
          <cell r="I1906" t="str">
            <v>pc</v>
          </cell>
          <cell r="J1906">
            <v>16000</v>
          </cell>
          <cell r="K1906" t="str">
            <v>pc</v>
          </cell>
          <cell r="L1906">
            <v>16000</v>
          </cell>
          <cell r="M1906" t="str">
            <v>pc</v>
          </cell>
          <cell r="T1906">
            <v>170000</v>
          </cell>
          <cell r="U1906">
            <v>12</v>
          </cell>
          <cell r="V1906" t="str">
            <v>lsn</v>
          </cell>
          <cell r="W1906">
            <v>14100</v>
          </cell>
          <cell r="X1906" t="str">
            <v>pc</v>
          </cell>
          <cell r="Y1906">
            <v>14166.666666666666</v>
          </cell>
          <cell r="Z1906" t="str">
            <v>pc</v>
          </cell>
        </row>
        <row r="1907">
          <cell r="A1907" t="str">
            <v>MAMA500R</v>
          </cell>
          <cell r="B1907" t="str">
            <v>Mama POWER STAIN 500 ml REFILL</v>
          </cell>
          <cell r="C1907">
            <v>12</v>
          </cell>
          <cell r="D1907" t="str">
            <v>pcs</v>
          </cell>
          <cell r="E1907">
            <v>103800</v>
          </cell>
          <cell r="G1907">
            <v>8650</v>
          </cell>
          <cell r="H1907">
            <v>10000</v>
          </cell>
          <cell r="I1907" t="str">
            <v>pc</v>
          </cell>
          <cell r="J1907">
            <v>9700</v>
          </cell>
          <cell r="K1907" t="str">
            <v>pc</v>
          </cell>
          <cell r="L1907">
            <v>9300</v>
          </cell>
          <cell r="M1907" t="str">
            <v>pc</v>
          </cell>
          <cell r="T1907">
            <v>107000</v>
          </cell>
          <cell r="U1907">
            <v>12</v>
          </cell>
          <cell r="V1907" t="str">
            <v>lsn</v>
          </cell>
          <cell r="W1907">
            <v>8900</v>
          </cell>
          <cell r="X1907" t="str">
            <v>pc</v>
          </cell>
          <cell r="Y1907">
            <v>8950</v>
          </cell>
          <cell r="Z1907" t="str">
            <v>pc</v>
          </cell>
        </row>
        <row r="1908">
          <cell r="A1908" t="str">
            <v>MAMA500B</v>
          </cell>
          <cell r="B1908" t="str">
            <v>Mama POWER STAIN 500 ml BOTOL</v>
          </cell>
          <cell r="C1908">
            <v>12</v>
          </cell>
          <cell r="D1908" t="str">
            <v>pcs</v>
          </cell>
          <cell r="E1908">
            <v>115800</v>
          </cell>
          <cell r="G1908">
            <v>9650</v>
          </cell>
          <cell r="H1908">
            <v>12000</v>
          </cell>
          <cell r="I1908" t="str">
            <v>pc</v>
          </cell>
          <cell r="J1908">
            <v>11500</v>
          </cell>
          <cell r="K1908" t="str">
            <v>pc</v>
          </cell>
          <cell r="L1908">
            <v>11000</v>
          </cell>
          <cell r="M1908" t="str">
            <v>pc</v>
          </cell>
          <cell r="T1908">
            <v>118000</v>
          </cell>
          <cell r="U1908">
            <v>12</v>
          </cell>
          <cell r="V1908" t="str">
            <v>lsn</v>
          </cell>
          <cell r="W1908">
            <v>9800</v>
          </cell>
          <cell r="X1908" t="str">
            <v>pc</v>
          </cell>
          <cell r="Y1908">
            <v>9900</v>
          </cell>
          <cell r="Z1908" t="str">
            <v>pc</v>
          </cell>
        </row>
        <row r="1909">
          <cell r="A1909" t="str">
            <v>MAMA400R</v>
          </cell>
          <cell r="B1909" t="str">
            <v>Mama Lemon 400 ml REFILL</v>
          </cell>
          <cell r="C1909">
            <v>12</v>
          </cell>
          <cell r="D1909" t="str">
            <v>pcs</v>
          </cell>
          <cell r="E1909">
            <v>96000</v>
          </cell>
          <cell r="G1909">
            <v>8000</v>
          </cell>
          <cell r="H1909">
            <v>9000</v>
          </cell>
          <cell r="I1909" t="str">
            <v>pc</v>
          </cell>
          <cell r="J1909">
            <v>8700</v>
          </cell>
          <cell r="K1909" t="str">
            <v>pc</v>
          </cell>
          <cell r="L1909">
            <v>8500</v>
          </cell>
          <cell r="M1909" t="str">
            <v>pc</v>
          </cell>
        </row>
        <row r="1910">
          <cell r="A1910" t="str">
            <v>MAMA230</v>
          </cell>
          <cell r="B1910" t="str">
            <v>Mama Lemon 230 ml</v>
          </cell>
          <cell r="C1910">
            <v>24</v>
          </cell>
          <cell r="D1910" t="str">
            <v>pcs</v>
          </cell>
          <cell r="E1910">
            <v>84950</v>
          </cell>
          <cell r="F1910">
            <v>42475</v>
          </cell>
          <cell r="G1910">
            <v>3539.5833333333335</v>
          </cell>
          <cell r="H1910">
            <v>4500</v>
          </cell>
          <cell r="I1910" t="str">
            <v>pc</v>
          </cell>
          <cell r="J1910">
            <v>4500</v>
          </cell>
          <cell r="K1910" t="str">
            <v>pc</v>
          </cell>
          <cell r="L1910">
            <v>4000</v>
          </cell>
          <cell r="M1910" t="str">
            <v>pc</v>
          </cell>
          <cell r="T1910">
            <v>45000</v>
          </cell>
          <cell r="U1910">
            <v>12</v>
          </cell>
          <cell r="V1910" t="str">
            <v>lsn</v>
          </cell>
          <cell r="W1910">
            <v>3700</v>
          </cell>
          <cell r="X1910" t="str">
            <v>pc</v>
          </cell>
          <cell r="Y1910">
            <v>3750</v>
          </cell>
          <cell r="Z1910" t="str">
            <v>pc</v>
          </cell>
        </row>
        <row r="1911">
          <cell r="A1911" t="str">
            <v>MAMA115</v>
          </cell>
          <cell r="B1911" t="str">
            <v>Mama Lemon 115 ml</v>
          </cell>
          <cell r="C1911">
            <v>24</v>
          </cell>
          <cell r="D1911" t="str">
            <v>pcs</v>
          </cell>
          <cell r="E1911">
            <v>38400</v>
          </cell>
          <cell r="F1911">
            <v>19200</v>
          </cell>
          <cell r="G1911">
            <v>1600</v>
          </cell>
          <cell r="H1911">
            <v>2500</v>
          </cell>
          <cell r="I1911" t="str">
            <v>pc</v>
          </cell>
          <cell r="J1911">
            <v>2300</v>
          </cell>
          <cell r="K1911" t="str">
            <v>pc</v>
          </cell>
          <cell r="L1911">
            <v>2000</v>
          </cell>
          <cell r="M1911" t="str">
            <v>pc</v>
          </cell>
          <cell r="T1911">
            <v>22500</v>
          </cell>
          <cell r="U1911">
            <v>12</v>
          </cell>
          <cell r="V1911" t="str">
            <v>lsn</v>
          </cell>
          <cell r="W1911">
            <v>1900</v>
          </cell>
          <cell r="X1911" t="str">
            <v>pc</v>
          </cell>
          <cell r="Y1911">
            <v>1900</v>
          </cell>
          <cell r="Z1911" t="str">
            <v>pc</v>
          </cell>
        </row>
        <row r="1912">
          <cell r="A1912" t="str">
            <v>MAMA55</v>
          </cell>
          <cell r="B1912" t="str">
            <v>Mama Lemon 62 / 55 ml</v>
          </cell>
          <cell r="C1912">
            <v>72</v>
          </cell>
          <cell r="D1912" t="str">
            <v>pcs</v>
          </cell>
          <cell r="E1912">
            <v>63000</v>
          </cell>
          <cell r="F1912">
            <v>10500</v>
          </cell>
          <cell r="G1912">
            <v>875</v>
          </cell>
          <cell r="H1912">
            <v>1500</v>
          </cell>
          <cell r="I1912" t="str">
            <v>pc</v>
          </cell>
          <cell r="J1912">
            <v>1500</v>
          </cell>
          <cell r="K1912" t="str">
            <v>pc</v>
          </cell>
          <cell r="L1912">
            <v>1200</v>
          </cell>
          <cell r="M1912" t="str">
            <v>pc</v>
          </cell>
          <cell r="T1912">
            <v>12000</v>
          </cell>
          <cell r="U1912">
            <v>12</v>
          </cell>
          <cell r="V1912" t="str">
            <v>lsn</v>
          </cell>
          <cell r="W1912">
            <v>950</v>
          </cell>
          <cell r="X1912" t="str">
            <v>pc</v>
          </cell>
          <cell r="Y1912">
            <v>1000</v>
          </cell>
          <cell r="Z1912" t="str">
            <v>pc</v>
          </cell>
        </row>
        <row r="1913">
          <cell r="A1913" t="str">
            <v>MAMA750</v>
          </cell>
          <cell r="B1913" t="str">
            <v>Mama Lemon 750 ml BOTOL</v>
          </cell>
          <cell r="C1913">
            <v>12</v>
          </cell>
          <cell r="D1913" t="str">
            <v>pcs</v>
          </cell>
          <cell r="E1913">
            <v>235500</v>
          </cell>
          <cell r="G1913">
            <v>19625</v>
          </cell>
          <cell r="H1913">
            <v>21500</v>
          </cell>
          <cell r="I1913" t="str">
            <v>pc</v>
          </cell>
          <cell r="J1913">
            <v>21000</v>
          </cell>
          <cell r="K1913" t="str">
            <v>pc</v>
          </cell>
          <cell r="L1913">
            <v>20500</v>
          </cell>
          <cell r="M1913" t="str">
            <v>pc</v>
          </cell>
          <cell r="T1913">
            <v>238500</v>
          </cell>
          <cell r="U1913">
            <v>12</v>
          </cell>
          <cell r="V1913" t="str">
            <v>lsn</v>
          </cell>
          <cell r="W1913">
            <v>19900</v>
          </cell>
          <cell r="X1913" t="str">
            <v>pc</v>
          </cell>
          <cell r="Y1913">
            <v>20000</v>
          </cell>
          <cell r="Z1913" t="str">
            <v>pc</v>
          </cell>
        </row>
        <row r="1914">
          <cell r="A1914" t="str">
            <v>MAMA400B</v>
          </cell>
          <cell r="B1914" t="str">
            <v>Mama Lemon 400 ml BOTOL</v>
          </cell>
          <cell r="C1914">
            <v>12</v>
          </cell>
          <cell r="D1914" t="str">
            <v>pcs</v>
          </cell>
          <cell r="E1914">
            <v>127800</v>
          </cell>
          <cell r="G1914">
            <v>10650</v>
          </cell>
          <cell r="H1914">
            <v>12000</v>
          </cell>
          <cell r="I1914" t="str">
            <v>pc</v>
          </cell>
          <cell r="J1914">
            <v>11500</v>
          </cell>
          <cell r="K1914" t="str">
            <v>pc</v>
          </cell>
          <cell r="L1914">
            <v>11200</v>
          </cell>
          <cell r="M1914" t="str">
            <v>pc</v>
          </cell>
          <cell r="T1914">
            <v>130000</v>
          </cell>
          <cell r="U1914">
            <v>12</v>
          </cell>
          <cell r="V1914" t="str">
            <v>lsn</v>
          </cell>
          <cell r="W1914">
            <v>10800</v>
          </cell>
          <cell r="X1914" t="str">
            <v>pc</v>
          </cell>
          <cell r="Y1914">
            <v>10900</v>
          </cell>
          <cell r="Z1914" t="str">
            <v>pc</v>
          </cell>
        </row>
        <row r="1915">
          <cell r="A1915" t="str">
            <v>GOWOSH800</v>
          </cell>
          <cell r="B1915" t="str">
            <v>Sabun Cuci Piring Go Wosh 800 ml</v>
          </cell>
          <cell r="C1915">
            <v>12</v>
          </cell>
          <cell r="D1915" t="str">
            <v>pcs</v>
          </cell>
          <cell r="E1915">
            <v>121000</v>
          </cell>
          <cell r="G1915">
            <v>10083.333333333334</v>
          </cell>
          <cell r="H1915">
            <v>11500</v>
          </cell>
          <cell r="I1915" t="str">
            <v>pc</v>
          </cell>
          <cell r="J1915">
            <v>11000</v>
          </cell>
          <cell r="K1915" t="str">
            <v>pc</v>
          </cell>
          <cell r="L1915">
            <v>11000</v>
          </cell>
          <cell r="M1915" t="str">
            <v>pc</v>
          </cell>
        </row>
        <row r="1916">
          <cell r="A1916" t="str">
            <v>SUNL1600</v>
          </cell>
          <cell r="B1916" t="str">
            <v>Sunlight Cair 1600 ml Refill</v>
          </cell>
          <cell r="C1916">
            <v>6</v>
          </cell>
          <cell r="D1916" t="str">
            <v>pcs</v>
          </cell>
          <cell r="E1916">
            <v>175200</v>
          </cell>
          <cell r="F1916">
            <v>350400</v>
          </cell>
          <cell r="G1916">
            <v>29200</v>
          </cell>
          <cell r="H1916">
            <v>33000</v>
          </cell>
          <cell r="I1916" t="str">
            <v>pc</v>
          </cell>
          <cell r="J1916">
            <v>32500</v>
          </cell>
          <cell r="K1916" t="str">
            <v>pc</v>
          </cell>
          <cell r="L1916">
            <v>32000</v>
          </cell>
          <cell r="M1916" t="str">
            <v>pc</v>
          </cell>
        </row>
        <row r="1917">
          <cell r="A1917" t="str">
            <v>SUNL1</v>
          </cell>
          <cell r="B1917" t="str">
            <v>Sunlight Cair 25 ml Refill</v>
          </cell>
          <cell r="C1917">
            <v>288</v>
          </cell>
          <cell r="D1917" t="str">
            <v>dos</v>
          </cell>
          <cell r="E1917">
            <v>115200</v>
          </cell>
          <cell r="F1917">
            <v>4800</v>
          </cell>
          <cell r="G1917">
            <v>400</v>
          </cell>
        </row>
        <row r="1918">
          <cell r="A1918" t="str">
            <v>SUNL250</v>
          </cell>
          <cell r="B1918" t="str">
            <v>Sunlight Cair 250 ml btl</v>
          </cell>
          <cell r="C1918">
            <v>24</v>
          </cell>
          <cell r="D1918" t="str">
            <v>btl</v>
          </cell>
          <cell r="E1918">
            <v>152400</v>
          </cell>
          <cell r="F1918">
            <v>76200</v>
          </cell>
          <cell r="G1918">
            <v>6350</v>
          </cell>
        </row>
        <row r="1919">
          <cell r="A1919" t="str">
            <v>SUNL100</v>
          </cell>
          <cell r="B1919" t="str">
            <v>Sunlight Cair 100 ml Refill</v>
          </cell>
          <cell r="C1919">
            <v>72</v>
          </cell>
          <cell r="D1919" t="str">
            <v>dos</v>
          </cell>
          <cell r="E1919">
            <v>115200</v>
          </cell>
          <cell r="F1919">
            <v>19200</v>
          </cell>
          <cell r="G1919">
            <v>1600</v>
          </cell>
          <cell r="H1919">
            <v>2500</v>
          </cell>
          <cell r="I1919" t="str">
            <v>pc</v>
          </cell>
          <cell r="J1919">
            <v>2200</v>
          </cell>
          <cell r="K1919" t="str">
            <v>pc</v>
          </cell>
          <cell r="L1919">
            <v>2100</v>
          </cell>
          <cell r="M1919" t="str">
            <v>pc</v>
          </cell>
          <cell r="T1919">
            <v>22000</v>
          </cell>
          <cell r="U1919">
            <v>12</v>
          </cell>
          <cell r="V1919" t="str">
            <v>lsn</v>
          </cell>
          <cell r="W1919">
            <v>1900</v>
          </cell>
          <cell r="X1919" t="str">
            <v>pc</v>
          </cell>
          <cell r="Y1919">
            <v>2000</v>
          </cell>
          <cell r="Z1919" t="str">
            <v>pc</v>
          </cell>
        </row>
        <row r="1920">
          <cell r="A1920" t="str">
            <v>SUNL800P</v>
          </cell>
          <cell r="B1920" t="str">
            <v>Sunlight Cair Biasa 800 ml Putih Refill</v>
          </cell>
          <cell r="C1920">
            <v>12</v>
          </cell>
          <cell r="D1920" t="str">
            <v>pcs</v>
          </cell>
          <cell r="E1920">
            <v>190800</v>
          </cell>
          <cell r="G1920">
            <v>15900</v>
          </cell>
        </row>
        <row r="1921">
          <cell r="A1921" t="str">
            <v>SUNL755</v>
          </cell>
          <cell r="B1921" t="str">
            <v>Sunlight Cair Biasa 755 ml HIJAU</v>
          </cell>
          <cell r="C1921">
            <v>12</v>
          </cell>
          <cell r="D1921" t="str">
            <v>pcs</v>
          </cell>
          <cell r="E1921">
            <v>184800</v>
          </cell>
          <cell r="G1921">
            <v>15400</v>
          </cell>
          <cell r="H1921">
            <v>16500</v>
          </cell>
          <cell r="I1921" t="str">
            <v>pc</v>
          </cell>
          <cell r="J1921">
            <v>16500</v>
          </cell>
          <cell r="K1921" t="str">
            <v>pc</v>
          </cell>
          <cell r="L1921">
            <v>16000</v>
          </cell>
          <cell r="M1921" t="str">
            <v>pc</v>
          </cell>
        </row>
        <row r="1922">
          <cell r="A1922" t="str">
            <v>SUNL220</v>
          </cell>
          <cell r="B1922" t="str">
            <v>Sunlight Cair Lemon/Lime 220 ml Refill</v>
          </cell>
          <cell r="C1922">
            <v>6</v>
          </cell>
          <cell r="D1922" t="str">
            <v>pcs</v>
          </cell>
          <cell r="E1922">
            <v>27000</v>
          </cell>
          <cell r="F1922">
            <v>54000</v>
          </cell>
          <cell r="G1922">
            <v>4500</v>
          </cell>
          <cell r="H1922">
            <v>5000</v>
          </cell>
          <cell r="I1922" t="str">
            <v>pc</v>
          </cell>
          <cell r="J1922">
            <v>5000</v>
          </cell>
          <cell r="K1922" t="str">
            <v>pc</v>
          </cell>
          <cell r="L1922">
            <v>5000</v>
          </cell>
          <cell r="M1922" t="str">
            <v>pc</v>
          </cell>
          <cell r="Y1922">
            <v>5000</v>
          </cell>
          <cell r="Z1922" t="str">
            <v>pc</v>
          </cell>
        </row>
        <row r="1923">
          <cell r="A1923" t="str">
            <v>SUNL750BT</v>
          </cell>
          <cell r="B1923" t="str">
            <v>Sunlight Cair Lemon/Lime 750 ml  btl</v>
          </cell>
          <cell r="C1923">
            <v>12</v>
          </cell>
          <cell r="D1923" t="str">
            <v>pcs</v>
          </cell>
          <cell r="E1923">
            <v>250200</v>
          </cell>
          <cell r="F1923">
            <v>250200</v>
          </cell>
          <cell r="G1923">
            <v>20850</v>
          </cell>
        </row>
        <row r="1924">
          <cell r="A1924" t="str">
            <v>SUNL400B</v>
          </cell>
          <cell r="B1924" t="str">
            <v>Sunlight Cair Lime/Lemon 400 ml Botol</v>
          </cell>
          <cell r="C1924">
            <v>24</v>
          </cell>
          <cell r="D1924" t="str">
            <v>dos</v>
          </cell>
          <cell r="E1924">
            <v>258000</v>
          </cell>
          <cell r="F1924">
            <v>129000</v>
          </cell>
          <cell r="G1924">
            <v>10750</v>
          </cell>
        </row>
        <row r="1925">
          <cell r="A1925" t="str">
            <v>SUNL435R</v>
          </cell>
          <cell r="B1925" t="str">
            <v>Sunlight Cair Lime/Lemon 435 ml Refill</v>
          </cell>
          <cell r="C1925">
            <v>24</v>
          </cell>
          <cell r="D1925" t="str">
            <v>dos</v>
          </cell>
          <cell r="E1925">
            <v>218399</v>
          </cell>
          <cell r="F1925">
            <v>109199.5</v>
          </cell>
          <cell r="G1925">
            <v>9099.9583333333339</v>
          </cell>
          <cell r="H1925">
            <v>10000</v>
          </cell>
          <cell r="I1925" t="str">
            <v>pc</v>
          </cell>
          <cell r="J1925">
            <v>9800</v>
          </cell>
          <cell r="K1925" t="str">
            <v>pc</v>
          </cell>
          <cell r="L1925">
            <v>9700</v>
          </cell>
          <cell r="M1925" t="str">
            <v>pc</v>
          </cell>
          <cell r="T1925">
            <v>113000</v>
          </cell>
          <cell r="U1925">
            <v>12</v>
          </cell>
          <cell r="V1925" t="str">
            <v>lsn</v>
          </cell>
          <cell r="W1925">
            <v>9400</v>
          </cell>
          <cell r="X1925" t="str">
            <v>pc</v>
          </cell>
          <cell r="Y1925">
            <v>9500</v>
          </cell>
          <cell r="Z1925" t="str">
            <v>pc</v>
          </cell>
        </row>
        <row r="1926">
          <cell r="A1926" t="str">
            <v>SUNLCR</v>
          </cell>
          <cell r="B1926" t="str">
            <v>Sunlight Cream</v>
          </cell>
          <cell r="C1926">
            <v>24</v>
          </cell>
          <cell r="D1926" t="str">
            <v>pcs</v>
          </cell>
          <cell r="E1926">
            <v>129600</v>
          </cell>
          <cell r="F1926">
            <v>64800</v>
          </cell>
          <cell r="G1926">
            <v>5400</v>
          </cell>
          <cell r="H1926">
            <v>6500</v>
          </cell>
          <cell r="I1926" t="str">
            <v>pc</v>
          </cell>
          <cell r="J1926">
            <v>6500</v>
          </cell>
          <cell r="K1926" t="str">
            <v>pc</v>
          </cell>
          <cell r="L1926">
            <v>6000</v>
          </cell>
          <cell r="M1926" t="str">
            <v>pc</v>
          </cell>
        </row>
        <row r="1927">
          <cell r="A1927" t="str">
            <v>SUNS10</v>
          </cell>
          <cell r="B1927" t="str">
            <v>Sunsilk Krim Pelindung Rambut 10 ml rtg</v>
          </cell>
          <cell r="C1927">
            <v>12</v>
          </cell>
          <cell r="D1927" t="str">
            <v>rtg</v>
          </cell>
          <cell r="E1927">
            <v>18000</v>
          </cell>
          <cell r="F1927">
            <v>216000</v>
          </cell>
          <cell r="G1927">
            <v>1500</v>
          </cell>
        </row>
        <row r="1928">
          <cell r="A1928" t="str">
            <v>SUNS60</v>
          </cell>
          <cell r="B1928" t="str">
            <v>Sunsilk Leave On 6 ml rtg</v>
          </cell>
          <cell r="C1928">
            <v>12</v>
          </cell>
          <cell r="D1928" t="str">
            <v>btl</v>
          </cell>
          <cell r="E1928">
            <v>4500.083333333333</v>
          </cell>
          <cell r="F1928">
            <v>54001</v>
          </cell>
          <cell r="G1928">
            <v>375.0069444444444</v>
          </cell>
        </row>
        <row r="1929">
          <cell r="A1929" t="str">
            <v>SUNS1</v>
          </cell>
          <cell r="B1929" t="str">
            <v>Sunsilk Sampo  rtg</v>
          </cell>
          <cell r="C1929">
            <v>12</v>
          </cell>
          <cell r="D1929" t="str">
            <v>rtg</v>
          </cell>
          <cell r="E1929">
            <v>9300</v>
          </cell>
          <cell r="F1929">
            <v>372000</v>
          </cell>
          <cell r="G1929">
            <v>775</v>
          </cell>
          <cell r="N1929">
            <v>10500</v>
          </cell>
          <cell r="O1929">
            <v>12</v>
          </cell>
          <cell r="P1929" t="str">
            <v>rtg</v>
          </cell>
        </row>
        <row r="1930">
          <cell r="A1930" t="str">
            <v>SUNS170</v>
          </cell>
          <cell r="B1930" t="str">
            <v>Sunsilk Sampo 170 ml</v>
          </cell>
          <cell r="C1930">
            <v>6</v>
          </cell>
          <cell r="D1930" t="str">
            <v>btl</v>
          </cell>
          <cell r="E1930">
            <v>144000</v>
          </cell>
          <cell r="F1930">
            <v>288000</v>
          </cell>
          <cell r="G1930">
            <v>24000</v>
          </cell>
          <cell r="H1930">
            <v>25000</v>
          </cell>
          <cell r="I1930" t="str">
            <v>btl</v>
          </cell>
          <cell r="J1930">
            <v>25000</v>
          </cell>
          <cell r="K1930" t="str">
            <v>btl</v>
          </cell>
        </row>
        <row r="1931">
          <cell r="A1931" t="str">
            <v>SUNS340</v>
          </cell>
          <cell r="B1931" t="str">
            <v>Sunsilk Sampo 340 ml</v>
          </cell>
          <cell r="C1931">
            <v>18</v>
          </cell>
          <cell r="D1931" t="str">
            <v>btl</v>
          </cell>
          <cell r="E1931">
            <v>632520</v>
          </cell>
          <cell r="F1931">
            <v>421680</v>
          </cell>
          <cell r="G1931">
            <v>35140</v>
          </cell>
          <cell r="H1931">
            <v>37500</v>
          </cell>
          <cell r="I1931" t="str">
            <v>btl</v>
          </cell>
          <cell r="J1931">
            <v>37000</v>
          </cell>
          <cell r="K1931" t="str">
            <v>btl</v>
          </cell>
        </row>
        <row r="1932">
          <cell r="A1932" t="str">
            <v>SUNS70</v>
          </cell>
          <cell r="B1932" t="str">
            <v>Sunsilk Sampo 70 ml</v>
          </cell>
          <cell r="C1932">
            <v>4</v>
          </cell>
          <cell r="D1932" t="str">
            <v>btl</v>
          </cell>
          <cell r="E1932">
            <v>54000</v>
          </cell>
          <cell r="F1932">
            <v>162000</v>
          </cell>
          <cell r="G1932">
            <v>13500</v>
          </cell>
          <cell r="H1932">
            <v>14500</v>
          </cell>
          <cell r="I1932" t="str">
            <v>btl</v>
          </cell>
          <cell r="J1932">
            <v>14500</v>
          </cell>
          <cell r="K1932" t="str">
            <v>btl</v>
          </cell>
        </row>
        <row r="1933">
          <cell r="A1933" t="str">
            <v>SUPERPEL1</v>
          </cell>
          <cell r="B1933" t="str">
            <v>Superpel 25 ml rtg</v>
          </cell>
          <cell r="C1933">
            <v>12</v>
          </cell>
          <cell r="D1933" t="str">
            <v>pcs</v>
          </cell>
          <cell r="E1933">
            <v>4788</v>
          </cell>
          <cell r="F1933">
            <v>28728</v>
          </cell>
          <cell r="G1933">
            <v>399</v>
          </cell>
        </row>
        <row r="1934">
          <cell r="A1934" t="str">
            <v>SUPERPEL400</v>
          </cell>
          <cell r="B1934" t="str">
            <v>Superpel 400 ml</v>
          </cell>
          <cell r="C1934">
            <v>24</v>
          </cell>
          <cell r="D1934" t="str">
            <v>pcs</v>
          </cell>
          <cell r="E1934">
            <v>134400</v>
          </cell>
          <cell r="F1934">
            <v>67200</v>
          </cell>
          <cell r="G1934">
            <v>5600</v>
          </cell>
          <cell r="H1934">
            <v>6500</v>
          </cell>
          <cell r="I1934" t="str">
            <v>pc</v>
          </cell>
          <cell r="J1934">
            <v>6300</v>
          </cell>
          <cell r="K1934" t="str">
            <v>pc</v>
          </cell>
          <cell r="L1934">
            <v>6100</v>
          </cell>
          <cell r="M1934" t="str">
            <v>pc</v>
          </cell>
          <cell r="T1934">
            <v>70000</v>
          </cell>
          <cell r="U1934">
            <v>12</v>
          </cell>
          <cell r="V1934" t="str">
            <v>lsn</v>
          </cell>
          <cell r="W1934">
            <v>5800</v>
          </cell>
          <cell r="X1934" t="str">
            <v>pc</v>
          </cell>
          <cell r="Y1934">
            <v>5900</v>
          </cell>
          <cell r="Z1934" t="str">
            <v>pc</v>
          </cell>
        </row>
        <row r="1935">
          <cell r="A1935" t="str">
            <v>SUPERPEL800</v>
          </cell>
          <cell r="B1935" t="str">
            <v>Superpel 800 ml</v>
          </cell>
          <cell r="C1935">
            <v>12</v>
          </cell>
          <cell r="D1935" t="str">
            <v>pcs</v>
          </cell>
          <cell r="E1935">
            <v>127800</v>
          </cell>
          <cell r="F1935">
            <v>127800</v>
          </cell>
          <cell r="G1935">
            <v>10650</v>
          </cell>
          <cell r="H1935">
            <v>12000</v>
          </cell>
          <cell r="I1935" t="str">
            <v>pc</v>
          </cell>
          <cell r="J1935">
            <v>11700</v>
          </cell>
          <cell r="K1935" t="str">
            <v>pc</v>
          </cell>
          <cell r="L1935">
            <v>11200</v>
          </cell>
          <cell r="M1935" t="str">
            <v>pcs</v>
          </cell>
          <cell r="T1935">
            <v>131000</v>
          </cell>
          <cell r="U1935">
            <v>12</v>
          </cell>
          <cell r="V1935" t="str">
            <v>lsn</v>
          </cell>
          <cell r="W1935">
            <v>10900</v>
          </cell>
          <cell r="X1935" t="str">
            <v>pcs</v>
          </cell>
          <cell r="Y1935">
            <v>11000</v>
          </cell>
          <cell r="Z1935" t="str">
            <v>pcs</v>
          </cell>
          <cell r="AA1935">
            <v>131000</v>
          </cell>
          <cell r="AB1935" t="str">
            <v>dos</v>
          </cell>
        </row>
        <row r="1936">
          <cell r="A1936" t="str">
            <v>SUSEMIK</v>
          </cell>
          <cell r="B1936" t="str">
            <v>Susemi Kawat Cuci Piring</v>
          </cell>
          <cell r="C1936">
            <v>12</v>
          </cell>
          <cell r="D1936" t="str">
            <v>pcs</v>
          </cell>
          <cell r="E1936">
            <v>11000</v>
          </cell>
          <cell r="G1936">
            <v>916.66666666666663</v>
          </cell>
          <cell r="H1936">
            <v>1500</v>
          </cell>
          <cell r="I1936" t="str">
            <v>pc</v>
          </cell>
          <cell r="J1936">
            <v>1300</v>
          </cell>
          <cell r="K1936" t="str">
            <v>pc</v>
          </cell>
          <cell r="L1936">
            <v>1200</v>
          </cell>
          <cell r="M1936" t="str">
            <v>pc</v>
          </cell>
          <cell r="Q1936">
            <v>13500</v>
          </cell>
          <cell r="R1936">
            <v>12</v>
          </cell>
          <cell r="S1936" t="str">
            <v>pak</v>
          </cell>
          <cell r="W1936">
            <v>1100</v>
          </cell>
          <cell r="X1936" t="str">
            <v>pc</v>
          </cell>
          <cell r="Y1936">
            <v>1125</v>
          </cell>
          <cell r="Z1936" t="str">
            <v>pc</v>
          </cell>
        </row>
        <row r="1937">
          <cell r="A1937" t="str">
            <v>SUSEMIS</v>
          </cell>
          <cell r="B1937" t="str">
            <v>Susemi Spns Cuci Piring</v>
          </cell>
          <cell r="C1937">
            <v>12</v>
          </cell>
          <cell r="D1937" t="str">
            <v>pcs</v>
          </cell>
          <cell r="E1937">
            <v>11000</v>
          </cell>
          <cell r="G1937">
            <v>916.66666666666663</v>
          </cell>
          <cell r="H1937">
            <v>1500</v>
          </cell>
          <cell r="I1937" t="str">
            <v>pc</v>
          </cell>
          <cell r="J1937">
            <v>1300</v>
          </cell>
          <cell r="K1937" t="str">
            <v>pc</v>
          </cell>
          <cell r="L1937">
            <v>1200</v>
          </cell>
          <cell r="M1937" t="str">
            <v>pc</v>
          </cell>
          <cell r="Q1937">
            <v>13500</v>
          </cell>
          <cell r="R1937">
            <v>12</v>
          </cell>
          <cell r="S1937" t="str">
            <v>pak</v>
          </cell>
          <cell r="W1937">
            <v>1100</v>
          </cell>
          <cell r="X1937" t="str">
            <v>pc</v>
          </cell>
          <cell r="Y1937">
            <v>1125</v>
          </cell>
          <cell r="Z1937" t="str">
            <v>pc</v>
          </cell>
        </row>
        <row r="1938">
          <cell r="A1938" t="str">
            <v>BERUANG</v>
          </cell>
          <cell r="B1938" t="str">
            <v>Susu Beruang</v>
          </cell>
          <cell r="C1938">
            <v>30</v>
          </cell>
          <cell r="D1938" t="str">
            <v>klg</v>
          </cell>
          <cell r="E1938">
            <v>257550</v>
          </cell>
          <cell r="F1938">
            <v>103020</v>
          </cell>
          <cell r="G1938">
            <v>8585</v>
          </cell>
          <cell r="H1938">
            <v>10000</v>
          </cell>
          <cell r="I1938" t="str">
            <v>klg</v>
          </cell>
          <cell r="J1938">
            <v>10000</v>
          </cell>
          <cell r="K1938" t="str">
            <v>klg</v>
          </cell>
          <cell r="L1938">
            <v>10000</v>
          </cell>
          <cell r="M1938" t="str">
            <v>klg</v>
          </cell>
          <cell r="T1938">
            <v>106000</v>
          </cell>
          <cell r="U1938">
            <v>12</v>
          </cell>
          <cell r="V1938" t="str">
            <v>lsn</v>
          </cell>
          <cell r="X1938" t="str">
            <v>klg</v>
          </cell>
          <cell r="Z1938" t="str">
            <v>klg</v>
          </cell>
        </row>
        <row r="1939">
          <cell r="A1939" t="str">
            <v>CARNATION405</v>
          </cell>
          <cell r="B1939" t="str">
            <v>Susu Carnation 405gr</v>
          </cell>
          <cell r="C1939">
            <v>48</v>
          </cell>
          <cell r="D1939" t="str">
            <v>klg</v>
          </cell>
          <cell r="E1939">
            <v>662860</v>
          </cell>
          <cell r="F1939">
            <v>165715</v>
          </cell>
          <cell r="G1939">
            <v>13809.583333333334</v>
          </cell>
          <cell r="H1939">
            <v>15000</v>
          </cell>
          <cell r="I1939" t="str">
            <v>klg</v>
          </cell>
          <cell r="J1939">
            <v>15000</v>
          </cell>
          <cell r="K1939" t="str">
            <v>klg</v>
          </cell>
          <cell r="L1939">
            <v>14500</v>
          </cell>
          <cell r="M1939" t="str">
            <v>klg</v>
          </cell>
          <cell r="Y1939">
            <v>11900</v>
          </cell>
          <cell r="Z1939" t="str">
            <v>klg</v>
          </cell>
        </row>
        <row r="1940">
          <cell r="A1940" t="str">
            <v>CARNATION500</v>
          </cell>
          <cell r="B1940" t="str">
            <v>Susu Carnation 500 gr</v>
          </cell>
          <cell r="C1940">
            <v>48</v>
          </cell>
          <cell r="D1940" t="str">
            <v>klg</v>
          </cell>
          <cell r="E1940">
            <v>548570</v>
          </cell>
          <cell r="F1940">
            <v>137142.5</v>
          </cell>
          <cell r="G1940">
            <v>11428.541666666666</v>
          </cell>
          <cell r="H1940">
            <v>13000</v>
          </cell>
          <cell r="I1940" t="str">
            <v>klg</v>
          </cell>
          <cell r="J1940">
            <v>13000</v>
          </cell>
          <cell r="K1940" t="str">
            <v>klg</v>
          </cell>
          <cell r="L1940">
            <v>13000</v>
          </cell>
          <cell r="M1940" t="str">
            <v>klg</v>
          </cell>
          <cell r="Y1940">
            <v>11900</v>
          </cell>
          <cell r="Z1940" t="str">
            <v>klg</v>
          </cell>
        </row>
        <row r="1941">
          <cell r="A1941" t="str">
            <v>DAIRY</v>
          </cell>
          <cell r="B1941" t="str">
            <v xml:space="preserve">Susu Dairy Champ </v>
          </cell>
          <cell r="C1941">
            <v>24</v>
          </cell>
          <cell r="D1941" t="str">
            <v>klg</v>
          </cell>
          <cell r="E1941">
            <v>234000</v>
          </cell>
          <cell r="F1941">
            <v>117000</v>
          </cell>
          <cell r="G1941">
            <v>9750</v>
          </cell>
          <cell r="H1941">
            <v>11000</v>
          </cell>
          <cell r="I1941" t="str">
            <v>klg</v>
          </cell>
          <cell r="J1941">
            <v>10600</v>
          </cell>
          <cell r="K1941" t="str">
            <v>klg</v>
          </cell>
          <cell r="L1941">
            <v>10300</v>
          </cell>
          <cell r="M1941" t="str">
            <v>klg</v>
          </cell>
          <cell r="T1941">
            <v>120000</v>
          </cell>
          <cell r="U1941">
            <v>12</v>
          </cell>
          <cell r="V1941" t="str">
            <v>lsn</v>
          </cell>
          <cell r="W1941">
            <v>9900</v>
          </cell>
          <cell r="X1941" t="str">
            <v>klg</v>
          </cell>
          <cell r="Y1941">
            <v>10000</v>
          </cell>
          <cell r="Z1941" t="str">
            <v>klg</v>
          </cell>
        </row>
        <row r="1942">
          <cell r="A1942" t="str">
            <v>INDOB</v>
          </cell>
          <cell r="B1942" t="str">
            <v>Susu Indomilk Botol</v>
          </cell>
          <cell r="C1942">
            <v>24</v>
          </cell>
          <cell r="D1942" t="str">
            <v>btl</v>
          </cell>
          <cell r="E1942">
            <v>78000</v>
          </cell>
          <cell r="F1942">
            <v>39000</v>
          </cell>
          <cell r="G1942">
            <v>3250</v>
          </cell>
          <cell r="H1942">
            <v>5000</v>
          </cell>
          <cell r="I1942" t="str">
            <v>pc</v>
          </cell>
          <cell r="J1942">
            <v>5000</v>
          </cell>
          <cell r="K1942" t="str">
            <v>pc</v>
          </cell>
          <cell r="L1942">
            <v>3700</v>
          </cell>
          <cell r="M1942" t="str">
            <v>pc</v>
          </cell>
          <cell r="T1942">
            <v>42000</v>
          </cell>
          <cell r="U1942">
            <v>12</v>
          </cell>
          <cell r="V1942" t="str">
            <v>lsn</v>
          </cell>
          <cell r="W1942">
            <v>3500</v>
          </cell>
          <cell r="X1942" t="str">
            <v>pc</v>
          </cell>
          <cell r="Y1942">
            <v>3500</v>
          </cell>
          <cell r="Z1942" t="str">
            <v>pc</v>
          </cell>
          <cell r="AA1942">
            <v>92000</v>
          </cell>
          <cell r="AB1942" t="str">
            <v>dos</v>
          </cell>
        </row>
        <row r="1943">
          <cell r="A1943" t="str">
            <v>KIDS</v>
          </cell>
          <cell r="B1943" t="str">
            <v>Susu Indomilk Kids</v>
          </cell>
          <cell r="C1943">
            <v>40</v>
          </cell>
          <cell r="D1943" t="str">
            <v>pcs</v>
          </cell>
          <cell r="E1943">
            <v>92000</v>
          </cell>
          <cell r="F1943">
            <v>27600</v>
          </cell>
          <cell r="G1943">
            <v>2300</v>
          </cell>
          <cell r="H1943">
            <v>3000</v>
          </cell>
          <cell r="I1943" t="str">
            <v>ktk</v>
          </cell>
          <cell r="J1943">
            <v>3000</v>
          </cell>
          <cell r="K1943" t="str">
            <v>ktk</v>
          </cell>
          <cell r="L1943">
            <v>2600</v>
          </cell>
          <cell r="M1943" t="str">
            <v>ktk</v>
          </cell>
          <cell r="T1943">
            <v>31000</v>
          </cell>
          <cell r="U1943">
            <v>12</v>
          </cell>
          <cell r="V1943" t="str">
            <v>lsn</v>
          </cell>
          <cell r="W1943">
            <v>2500</v>
          </cell>
          <cell r="X1943" t="str">
            <v>ktk</v>
          </cell>
          <cell r="Y1943">
            <v>2600</v>
          </cell>
          <cell r="Z1943" t="str">
            <v>ktk</v>
          </cell>
          <cell r="AA1943">
            <v>96000</v>
          </cell>
          <cell r="AB1943" t="str">
            <v>dos</v>
          </cell>
        </row>
        <row r="1944">
          <cell r="A1944" t="str">
            <v>INDO1</v>
          </cell>
          <cell r="B1944" t="str">
            <v>Susu Indomilk renteng</v>
          </cell>
          <cell r="C1944">
            <v>6</v>
          </cell>
          <cell r="D1944" t="str">
            <v>pcs</v>
          </cell>
          <cell r="E1944">
            <v>6200</v>
          </cell>
          <cell r="F1944">
            <v>124000</v>
          </cell>
          <cell r="G1944">
            <v>1033.3333333333333</v>
          </cell>
        </row>
        <row r="1945">
          <cell r="A1945" t="str">
            <v>SAPIP</v>
          </cell>
          <cell r="B1945" t="str">
            <v>Susu Kental Manis Cap SAPI Putih</v>
          </cell>
          <cell r="C1945">
            <v>24</v>
          </cell>
          <cell r="D1945" t="str">
            <v>klg</v>
          </cell>
          <cell r="E1945">
            <v>176200.00200000001</v>
          </cell>
          <cell r="F1945">
            <v>88100.001000000004</v>
          </cell>
          <cell r="G1945">
            <v>7341.6667500000003</v>
          </cell>
          <cell r="H1945">
            <v>8500</v>
          </cell>
          <cell r="I1945" t="str">
            <v>pc</v>
          </cell>
          <cell r="J1945">
            <v>8100</v>
          </cell>
          <cell r="K1945" t="str">
            <v>pc</v>
          </cell>
          <cell r="L1945">
            <v>7800</v>
          </cell>
          <cell r="M1945" t="str">
            <v>pc</v>
          </cell>
          <cell r="T1945">
            <v>92000</v>
          </cell>
          <cell r="U1945">
            <v>12</v>
          </cell>
          <cell r="V1945" t="str">
            <v>lsn</v>
          </cell>
          <cell r="W1945">
            <v>7600</v>
          </cell>
          <cell r="X1945" t="str">
            <v>pc</v>
          </cell>
          <cell r="Y1945">
            <v>7666.666666666667</v>
          </cell>
          <cell r="Z1945" t="str">
            <v>pc</v>
          </cell>
          <cell r="AA1945">
            <v>180000</v>
          </cell>
          <cell r="AB1945" t="str">
            <v>dos</v>
          </cell>
        </row>
        <row r="1946">
          <cell r="A1946" t="str">
            <v>SAPIC</v>
          </cell>
          <cell r="B1946" t="str">
            <v>Susu Kental Manis Cap SAPI Coklat</v>
          </cell>
          <cell r="C1946">
            <v>24</v>
          </cell>
          <cell r="D1946" t="str">
            <v>klg</v>
          </cell>
          <cell r="E1946">
            <v>176200.00200000001</v>
          </cell>
          <cell r="F1946">
            <v>88100.001000000004</v>
          </cell>
          <cell r="G1946">
            <v>7341.6667500000003</v>
          </cell>
          <cell r="H1946">
            <v>8500</v>
          </cell>
          <cell r="I1946" t="str">
            <v>pc</v>
          </cell>
          <cell r="J1946">
            <v>8100</v>
          </cell>
          <cell r="K1946" t="str">
            <v>pc</v>
          </cell>
          <cell r="L1946">
            <v>7800</v>
          </cell>
          <cell r="M1946" t="str">
            <v>pc</v>
          </cell>
          <cell r="T1946">
            <v>92000</v>
          </cell>
          <cell r="U1946">
            <v>12</v>
          </cell>
          <cell r="V1946" t="str">
            <v>lsn</v>
          </cell>
          <cell r="W1946">
            <v>7600</v>
          </cell>
          <cell r="X1946" t="str">
            <v>pc</v>
          </cell>
          <cell r="Y1946">
            <v>7666.666666666667</v>
          </cell>
          <cell r="Z1946" t="str">
            <v>pc</v>
          </cell>
          <cell r="AA1946">
            <v>180000</v>
          </cell>
          <cell r="AB1946" t="str">
            <v>dos</v>
          </cell>
        </row>
        <row r="1947">
          <cell r="A1947" t="str">
            <v>JUARA180</v>
          </cell>
          <cell r="B1947" t="str">
            <v>Susu Juara 180 ml</v>
          </cell>
          <cell r="C1947">
            <v>24</v>
          </cell>
          <cell r="D1947" t="str">
            <v>ktk</v>
          </cell>
          <cell r="E1947">
            <v>38200</v>
          </cell>
          <cell r="F1947">
            <v>19100</v>
          </cell>
          <cell r="G1947">
            <v>1591.6666666666667</v>
          </cell>
        </row>
        <row r="1948">
          <cell r="A1948" t="str">
            <v>MILANO500</v>
          </cell>
          <cell r="B1948" t="str">
            <v>Susu Kental Milano 500 mg</v>
          </cell>
          <cell r="C1948">
            <v>48</v>
          </cell>
          <cell r="D1948" t="str">
            <v>klg</v>
          </cell>
          <cell r="E1948">
            <v>457152</v>
          </cell>
          <cell r="F1948">
            <v>114288</v>
          </cell>
          <cell r="G1948">
            <v>9524</v>
          </cell>
          <cell r="H1948">
            <v>10000</v>
          </cell>
          <cell r="I1948" t="str">
            <v>klg</v>
          </cell>
          <cell r="J1948">
            <v>10000</v>
          </cell>
          <cell r="K1948" t="str">
            <v>klg</v>
          </cell>
          <cell r="L1948">
            <v>10000</v>
          </cell>
          <cell r="M1948" t="str">
            <v>klg</v>
          </cell>
        </row>
        <row r="1949">
          <cell r="A1949" t="str">
            <v>ENAKC</v>
          </cell>
          <cell r="B1949" t="str">
            <v>Susu Kental Enak Coklat</v>
          </cell>
          <cell r="C1949">
            <v>24</v>
          </cell>
          <cell r="D1949" t="str">
            <v>klg</v>
          </cell>
          <cell r="E1949">
            <v>204000</v>
          </cell>
          <cell r="F1949">
            <v>102000</v>
          </cell>
          <cell r="G1949">
            <v>8500</v>
          </cell>
          <cell r="H1949">
            <v>9500</v>
          </cell>
          <cell r="I1949" t="str">
            <v>klg</v>
          </cell>
          <cell r="J1949">
            <v>9000</v>
          </cell>
          <cell r="K1949" t="str">
            <v>klg</v>
          </cell>
          <cell r="L1949">
            <v>9000</v>
          </cell>
          <cell r="M1949" t="str">
            <v>klg</v>
          </cell>
        </row>
        <row r="1950">
          <cell r="A1950" t="str">
            <v>ENAKC1</v>
          </cell>
          <cell r="B1950" t="str">
            <v>Susu Kental Enak Coklat Renteng</v>
          </cell>
          <cell r="C1950">
            <v>6</v>
          </cell>
          <cell r="D1950" t="str">
            <v>pcs</v>
          </cell>
          <cell r="E1950">
            <v>5250</v>
          </cell>
          <cell r="F1950">
            <v>105000</v>
          </cell>
          <cell r="G1950">
            <v>875</v>
          </cell>
          <cell r="Q1950">
            <v>6000</v>
          </cell>
          <cell r="R1950">
            <v>6</v>
          </cell>
          <cell r="S1950" t="str">
            <v>pak</v>
          </cell>
        </row>
        <row r="1951">
          <cell r="A1951" t="str">
            <v>ENAKP</v>
          </cell>
          <cell r="B1951" t="str">
            <v>Susu Kental Enak Putih</v>
          </cell>
          <cell r="C1951">
            <v>24</v>
          </cell>
          <cell r="D1951" t="str">
            <v>klg</v>
          </cell>
          <cell r="E1951">
            <v>204000</v>
          </cell>
          <cell r="F1951">
            <v>102000</v>
          </cell>
          <cell r="G1951">
            <v>8500</v>
          </cell>
          <cell r="H1951">
            <v>9500</v>
          </cell>
          <cell r="I1951" t="str">
            <v>klg</v>
          </cell>
          <cell r="J1951">
            <v>9000</v>
          </cell>
          <cell r="K1951" t="str">
            <v>klg</v>
          </cell>
          <cell r="L1951">
            <v>9000</v>
          </cell>
          <cell r="M1951" t="str">
            <v>klg</v>
          </cell>
        </row>
        <row r="1952">
          <cell r="A1952" t="str">
            <v>ENAKP1</v>
          </cell>
          <cell r="B1952" t="str">
            <v>Susu Kental Enak Putih Renteng</v>
          </cell>
          <cell r="C1952">
            <v>6</v>
          </cell>
          <cell r="D1952" t="str">
            <v>pcs</v>
          </cell>
          <cell r="E1952">
            <v>5500</v>
          </cell>
          <cell r="F1952">
            <v>110000</v>
          </cell>
          <cell r="G1952">
            <v>916.66666666666663</v>
          </cell>
          <cell r="Q1952">
            <v>6000</v>
          </cell>
          <cell r="R1952">
            <v>6</v>
          </cell>
          <cell r="S1952" t="str">
            <v>pak</v>
          </cell>
        </row>
        <row r="1953">
          <cell r="A1953" t="str">
            <v>ULTRA125</v>
          </cell>
          <cell r="B1953" t="str">
            <v>Susu Ultra 125</v>
          </cell>
          <cell r="C1953">
            <v>40</v>
          </cell>
          <cell r="D1953" t="str">
            <v>ktk</v>
          </cell>
          <cell r="E1953">
            <v>95600.010000000009</v>
          </cell>
          <cell r="F1953">
            <v>28680.003000000001</v>
          </cell>
          <cell r="G1953">
            <v>2390.0002500000001</v>
          </cell>
          <cell r="H1953">
            <v>3000</v>
          </cell>
          <cell r="I1953" t="str">
            <v>pc</v>
          </cell>
          <cell r="J1953">
            <v>3000</v>
          </cell>
          <cell r="K1953" t="str">
            <v>pc</v>
          </cell>
          <cell r="L1953">
            <v>2600</v>
          </cell>
          <cell r="M1953" t="str">
            <v>pc</v>
          </cell>
          <cell r="T1953">
            <v>30000</v>
          </cell>
          <cell r="U1953">
            <v>12</v>
          </cell>
          <cell r="V1953" t="str">
            <v>lsn</v>
          </cell>
          <cell r="W1953">
            <v>2500</v>
          </cell>
          <cell r="X1953" t="str">
            <v>pc</v>
          </cell>
          <cell r="Y1953">
            <v>2500</v>
          </cell>
          <cell r="Z1953" t="str">
            <v>pc</v>
          </cell>
          <cell r="AA1953">
            <v>98000</v>
          </cell>
          <cell r="AB1953" t="str">
            <v>dos</v>
          </cell>
        </row>
        <row r="1954">
          <cell r="A1954" t="str">
            <v>ULTRa200</v>
          </cell>
          <cell r="B1954" t="str">
            <v>Susu Ultra 200</v>
          </cell>
          <cell r="C1954">
            <v>24</v>
          </cell>
          <cell r="D1954" t="str">
            <v>ktk</v>
          </cell>
          <cell r="E1954">
            <v>90399.98000000001</v>
          </cell>
          <cell r="F1954">
            <v>45199.990000000005</v>
          </cell>
          <cell r="G1954">
            <v>3766.6658333333339</v>
          </cell>
          <cell r="H1954">
            <v>5000</v>
          </cell>
          <cell r="I1954" t="str">
            <v>ktk</v>
          </cell>
          <cell r="J1954">
            <v>5000</v>
          </cell>
          <cell r="K1954" t="str">
            <v>ktk</v>
          </cell>
          <cell r="L1954">
            <v>4200</v>
          </cell>
          <cell r="M1954" t="str">
            <v>ktk</v>
          </cell>
          <cell r="T1954">
            <v>48000</v>
          </cell>
          <cell r="U1954">
            <v>12</v>
          </cell>
          <cell r="V1954" t="str">
            <v>lsn</v>
          </cell>
          <cell r="W1954">
            <v>3900</v>
          </cell>
          <cell r="X1954" t="str">
            <v>ktk</v>
          </cell>
          <cell r="Y1954">
            <v>4000</v>
          </cell>
          <cell r="Z1954" t="str">
            <v>ktk</v>
          </cell>
          <cell r="AA1954">
            <v>94000</v>
          </cell>
          <cell r="AB1954" t="str">
            <v>dos</v>
          </cell>
        </row>
        <row r="1955">
          <cell r="A1955" t="str">
            <v>ULTRA1000P</v>
          </cell>
          <cell r="B1955" t="str">
            <v>Susu Ultra 1000 ML LOW FAT</v>
          </cell>
          <cell r="C1955">
            <v>1</v>
          </cell>
          <cell r="D1955" t="str">
            <v>pcs</v>
          </cell>
          <cell r="E1955">
            <v>15616.7</v>
          </cell>
          <cell r="F1955">
            <v>187400.40000000002</v>
          </cell>
          <cell r="G1955">
            <v>15616.7</v>
          </cell>
          <cell r="H1955">
            <v>19500</v>
          </cell>
          <cell r="I1955" t="str">
            <v>pc</v>
          </cell>
          <cell r="J1955">
            <v>19000</v>
          </cell>
          <cell r="K1955" t="str">
            <v>pc</v>
          </cell>
          <cell r="L1955">
            <v>18500</v>
          </cell>
          <cell r="M1955" t="str">
            <v>pc</v>
          </cell>
        </row>
        <row r="1956">
          <cell r="A1956" t="str">
            <v>ULTRA1000B</v>
          </cell>
          <cell r="B1956" t="str">
            <v>Susu Ultra 1000 ML BIASA</v>
          </cell>
          <cell r="C1956">
            <v>1</v>
          </cell>
          <cell r="D1956" t="str">
            <v>pcs</v>
          </cell>
          <cell r="E1956">
            <v>15475.009</v>
          </cell>
          <cell r="F1956">
            <v>185700.10800000001</v>
          </cell>
          <cell r="G1956">
            <v>15475.009</v>
          </cell>
          <cell r="H1956">
            <v>18000</v>
          </cell>
          <cell r="I1956" t="str">
            <v>pc</v>
          </cell>
          <cell r="J1956">
            <v>17500</v>
          </cell>
          <cell r="K1956" t="str">
            <v>pc</v>
          </cell>
          <cell r="L1956">
            <v>17000</v>
          </cell>
          <cell r="M1956" t="str">
            <v>pc</v>
          </cell>
        </row>
        <row r="1957">
          <cell r="A1957" t="str">
            <v>ULTRA250B</v>
          </cell>
          <cell r="B1957" t="str">
            <v>Susu Ultra 250 BIASA</v>
          </cell>
          <cell r="C1957">
            <v>24</v>
          </cell>
          <cell r="D1957" t="str">
            <v>ktk</v>
          </cell>
          <cell r="E1957">
            <v>113300</v>
          </cell>
          <cell r="F1957">
            <v>56650</v>
          </cell>
          <cell r="G1957">
            <v>4720.833333333333</v>
          </cell>
          <cell r="H1957">
            <v>6000</v>
          </cell>
          <cell r="I1957" t="str">
            <v>ktk</v>
          </cell>
          <cell r="J1957">
            <v>5700</v>
          </cell>
          <cell r="K1957" t="str">
            <v>ktk</v>
          </cell>
          <cell r="L1957">
            <v>5200</v>
          </cell>
          <cell r="M1957" t="str">
            <v>ktk</v>
          </cell>
          <cell r="T1957">
            <v>59000</v>
          </cell>
          <cell r="U1957">
            <v>12</v>
          </cell>
          <cell r="V1957" t="str">
            <v>lsn</v>
          </cell>
          <cell r="W1957">
            <v>4900</v>
          </cell>
          <cell r="X1957" t="str">
            <v>ktk</v>
          </cell>
          <cell r="Y1957">
            <v>5000</v>
          </cell>
          <cell r="Z1957" t="str">
            <v>ktk</v>
          </cell>
          <cell r="AA1957">
            <v>117000</v>
          </cell>
          <cell r="AB1957" t="str">
            <v>dos</v>
          </cell>
        </row>
        <row r="1958">
          <cell r="A1958" t="str">
            <v>ULTRA250L</v>
          </cell>
          <cell r="B1958" t="str">
            <v>Susu Ultra 250 LOW FAT</v>
          </cell>
          <cell r="C1958">
            <v>24</v>
          </cell>
          <cell r="D1958" t="str">
            <v>ktk</v>
          </cell>
          <cell r="E1958">
            <v>126800.003</v>
          </cell>
          <cell r="F1958">
            <v>63400.001499999998</v>
          </cell>
          <cell r="G1958">
            <v>5283.3334583333335</v>
          </cell>
          <cell r="H1958">
            <v>7500</v>
          </cell>
          <cell r="I1958" t="str">
            <v>pc</v>
          </cell>
          <cell r="J1958">
            <v>7000</v>
          </cell>
          <cell r="K1958" t="str">
            <v>pc</v>
          </cell>
          <cell r="L1958">
            <v>5700</v>
          </cell>
          <cell r="M1958" t="str">
            <v>ktk</v>
          </cell>
          <cell r="T1958">
            <v>66000</v>
          </cell>
          <cell r="U1958">
            <v>12</v>
          </cell>
          <cell r="V1958" t="str">
            <v>lsn</v>
          </cell>
          <cell r="W1958">
            <v>5500</v>
          </cell>
          <cell r="X1958" t="str">
            <v>ktk</v>
          </cell>
          <cell r="Y1958">
            <v>5500</v>
          </cell>
          <cell r="Z1958" t="str">
            <v>ktk</v>
          </cell>
          <cell r="AA1958">
            <v>123500</v>
          </cell>
          <cell r="AB1958" t="str">
            <v>dos</v>
          </cell>
        </row>
        <row r="1959">
          <cell r="A1959" t="str">
            <v>SUUNG</v>
          </cell>
          <cell r="B1959" t="str">
            <v>Suun Cap Gajah</v>
          </cell>
          <cell r="C1959">
            <v>10</v>
          </cell>
          <cell r="D1959" t="str">
            <v>ball</v>
          </cell>
          <cell r="E1959">
            <v>33500</v>
          </cell>
          <cell r="F1959">
            <v>335000</v>
          </cell>
          <cell r="G1959">
            <v>3350</v>
          </cell>
          <cell r="H1959">
            <v>4000</v>
          </cell>
          <cell r="I1959" t="str">
            <v>pc</v>
          </cell>
          <cell r="J1959">
            <v>4000</v>
          </cell>
          <cell r="K1959" t="str">
            <v>pc</v>
          </cell>
          <cell r="L1959">
            <v>3700</v>
          </cell>
          <cell r="M1959" t="str">
            <v>pc</v>
          </cell>
          <cell r="Q1959">
            <v>35000</v>
          </cell>
          <cell r="R1959">
            <v>10</v>
          </cell>
          <cell r="S1959" t="str">
            <v>bal</v>
          </cell>
          <cell r="W1959">
            <v>3400</v>
          </cell>
          <cell r="X1959" t="str">
            <v>pc</v>
          </cell>
          <cell r="Y1959">
            <v>3500</v>
          </cell>
          <cell r="Z1959" t="str">
            <v>pc</v>
          </cell>
        </row>
        <row r="1960">
          <cell r="A1960" t="str">
            <v>SUUNI</v>
          </cell>
          <cell r="B1960" t="str">
            <v>Suun Inti Rasa</v>
          </cell>
          <cell r="C1960">
            <v>10</v>
          </cell>
          <cell r="D1960" t="str">
            <v>ball</v>
          </cell>
          <cell r="E1960">
            <v>27100</v>
          </cell>
          <cell r="F1960">
            <v>271000</v>
          </cell>
          <cell r="G1960">
            <v>2710</v>
          </cell>
        </row>
        <row r="1961">
          <cell r="A1961" t="str">
            <v>SUUNS</v>
          </cell>
          <cell r="B1961" t="str">
            <v>Suun Srimpi/Jerapah</v>
          </cell>
          <cell r="C1961">
            <v>10</v>
          </cell>
          <cell r="D1961" t="str">
            <v>ball</v>
          </cell>
          <cell r="E1961">
            <v>28500</v>
          </cell>
          <cell r="F1961">
            <v>285000</v>
          </cell>
          <cell r="G1961">
            <v>2850</v>
          </cell>
          <cell r="Q1961">
            <v>31000</v>
          </cell>
          <cell r="R1961">
            <v>10</v>
          </cell>
          <cell r="S1961" t="str">
            <v>bal</v>
          </cell>
        </row>
        <row r="1962">
          <cell r="A1962" t="str">
            <v>MOONLIGHT</v>
          </cell>
          <cell r="B1962" t="str">
            <v>TABELO MOONLIGHT</v>
          </cell>
          <cell r="C1962">
            <v>20</v>
          </cell>
          <cell r="D1962" t="str">
            <v>pak</v>
          </cell>
          <cell r="E1962">
            <v>8083.333333333333</v>
          </cell>
          <cell r="F1962">
            <v>97000</v>
          </cell>
          <cell r="G1962">
            <v>404.16666666666663</v>
          </cell>
          <cell r="Q1962">
            <v>9500</v>
          </cell>
          <cell r="R1962">
            <v>20</v>
          </cell>
          <cell r="S1962" t="str">
            <v>pak</v>
          </cell>
          <cell r="AA1962">
            <v>96000</v>
          </cell>
          <cell r="AB1962" t="str">
            <v>dos</v>
          </cell>
        </row>
        <row r="1963">
          <cell r="A1963" t="str">
            <v>TALI</v>
          </cell>
          <cell r="B1963" t="str">
            <v>Tali Hitam Besar 1 KG</v>
          </cell>
          <cell r="C1963">
            <v>10</v>
          </cell>
          <cell r="D1963" t="str">
            <v>pcs</v>
          </cell>
          <cell r="E1963">
            <v>230000</v>
          </cell>
          <cell r="G1963">
            <v>23000</v>
          </cell>
          <cell r="H1963">
            <v>25000</v>
          </cell>
          <cell r="I1963" t="str">
            <v>pc</v>
          </cell>
          <cell r="J1963">
            <v>25000</v>
          </cell>
          <cell r="K1963" t="str">
            <v>pc</v>
          </cell>
          <cell r="L1963">
            <v>25000</v>
          </cell>
          <cell r="M1963" t="str">
            <v>pc</v>
          </cell>
          <cell r="AA1963">
            <v>215000</v>
          </cell>
          <cell r="AB1963" t="str">
            <v>bal</v>
          </cell>
        </row>
        <row r="1964">
          <cell r="A1964" t="str">
            <v>POCI</v>
          </cell>
          <cell r="B1964" t="str">
            <v>Teh POCI</v>
          </cell>
          <cell r="C1964">
            <v>5</v>
          </cell>
          <cell r="D1964" t="str">
            <v>pak</v>
          </cell>
          <cell r="E1964">
            <v>22000</v>
          </cell>
          <cell r="G1964">
            <v>4400</v>
          </cell>
          <cell r="H1964">
            <v>5000</v>
          </cell>
          <cell r="I1964" t="str">
            <v>pc</v>
          </cell>
          <cell r="J1964">
            <v>5000</v>
          </cell>
          <cell r="K1964" t="str">
            <v>pc</v>
          </cell>
          <cell r="L1964">
            <v>4700</v>
          </cell>
          <cell r="M1964" t="str">
            <v>pc</v>
          </cell>
        </row>
        <row r="1965">
          <cell r="A1965" t="str">
            <v>JASMIN1</v>
          </cell>
          <cell r="B1965" t="str">
            <v>Teh Jasmine Renteng</v>
          </cell>
          <cell r="C1965">
            <v>10</v>
          </cell>
          <cell r="D1965" t="str">
            <v>pcs</v>
          </cell>
          <cell r="E1965">
            <v>7283.5</v>
          </cell>
          <cell r="F1965">
            <v>14567</v>
          </cell>
          <cell r="G1965">
            <v>728.35</v>
          </cell>
          <cell r="H1965">
            <v>1000</v>
          </cell>
          <cell r="I1965" t="str">
            <v>pc</v>
          </cell>
          <cell r="J1965">
            <v>1000</v>
          </cell>
          <cell r="K1965" t="str">
            <v>pc</v>
          </cell>
          <cell r="L1965">
            <v>1000</v>
          </cell>
          <cell r="M1965" t="str">
            <v>pc</v>
          </cell>
          <cell r="N1965">
            <v>9000</v>
          </cell>
          <cell r="P1965" t="str">
            <v>rtg</v>
          </cell>
        </row>
        <row r="1966">
          <cell r="A1966" t="str">
            <v>SOSRO25</v>
          </cell>
          <cell r="B1966" t="str">
            <v>Teh SOSRO 25</v>
          </cell>
          <cell r="C1966">
            <v>5</v>
          </cell>
          <cell r="D1966" t="str">
            <v>pak</v>
          </cell>
          <cell r="E1966">
            <v>19000</v>
          </cell>
          <cell r="G1966">
            <v>3800</v>
          </cell>
          <cell r="H1966">
            <v>5000</v>
          </cell>
          <cell r="I1966" t="str">
            <v>pc</v>
          </cell>
          <cell r="J1966">
            <v>5000</v>
          </cell>
          <cell r="K1966" t="str">
            <v>pc</v>
          </cell>
          <cell r="L1966">
            <v>4300</v>
          </cell>
          <cell r="M1966" t="str">
            <v>pc</v>
          </cell>
        </row>
        <row r="1967">
          <cell r="A1967" t="str">
            <v>ROSE</v>
          </cell>
          <cell r="B1967" t="str">
            <v>Teh ROSE 25</v>
          </cell>
          <cell r="C1967">
            <v>1</v>
          </cell>
          <cell r="D1967" t="str">
            <v>pcs</v>
          </cell>
          <cell r="E1967">
            <v>4958</v>
          </cell>
          <cell r="G1967">
            <v>4958</v>
          </cell>
          <cell r="H1967">
            <v>6000</v>
          </cell>
          <cell r="I1967" t="str">
            <v>pc</v>
          </cell>
          <cell r="J1967">
            <v>6000</v>
          </cell>
          <cell r="K1967" t="str">
            <v>pc</v>
          </cell>
          <cell r="L1967">
            <v>6000</v>
          </cell>
          <cell r="M1967" t="str">
            <v>pc</v>
          </cell>
        </row>
        <row r="1968">
          <cell r="A1968" t="str">
            <v>HARTA</v>
          </cell>
          <cell r="B1968" t="str">
            <v>Teh Bubuk Harta</v>
          </cell>
          <cell r="C1968">
            <v>10</v>
          </cell>
          <cell r="D1968" t="str">
            <v>pcs</v>
          </cell>
          <cell r="E1968">
            <v>15800</v>
          </cell>
          <cell r="G1968">
            <v>1580</v>
          </cell>
          <cell r="H1968">
            <v>2000</v>
          </cell>
          <cell r="I1968" t="str">
            <v>pc</v>
          </cell>
          <cell r="J1968">
            <v>2000</v>
          </cell>
          <cell r="K1968" t="str">
            <v>pc</v>
          </cell>
          <cell r="L1968">
            <v>2000</v>
          </cell>
          <cell r="M1968" t="str">
            <v>pc</v>
          </cell>
        </row>
        <row r="1969">
          <cell r="A1969" t="str">
            <v>SOSRO30</v>
          </cell>
          <cell r="B1969" t="str">
            <v>Teh SOSRO 30</v>
          </cell>
          <cell r="C1969">
            <v>10</v>
          </cell>
          <cell r="D1969" t="str">
            <v>pak</v>
          </cell>
          <cell r="E1969">
            <v>47000</v>
          </cell>
          <cell r="G1969">
            <v>4700</v>
          </cell>
          <cell r="H1969">
            <v>6500</v>
          </cell>
          <cell r="I1969" t="str">
            <v>pc</v>
          </cell>
          <cell r="J1969">
            <v>6000</v>
          </cell>
          <cell r="K1969" t="str">
            <v>pc</v>
          </cell>
          <cell r="L1969">
            <v>5700</v>
          </cell>
          <cell r="M1969" t="str">
            <v>pc</v>
          </cell>
        </row>
        <row r="1970">
          <cell r="A1970" t="str">
            <v>SOSRO50</v>
          </cell>
          <cell r="B1970" t="str">
            <v>Teh SOSRO 50</v>
          </cell>
          <cell r="C1970">
            <v>5</v>
          </cell>
          <cell r="D1970" t="str">
            <v>pak</v>
          </cell>
          <cell r="E1970">
            <v>35000</v>
          </cell>
          <cell r="G1970">
            <v>7000</v>
          </cell>
          <cell r="H1970">
            <v>8500</v>
          </cell>
          <cell r="I1970" t="str">
            <v>pc</v>
          </cell>
          <cell r="J1970">
            <v>8000</v>
          </cell>
          <cell r="K1970" t="str">
            <v>pc</v>
          </cell>
          <cell r="L1970">
            <v>7600</v>
          </cell>
          <cell r="M1970" t="str">
            <v>pc</v>
          </cell>
        </row>
        <row r="1971">
          <cell r="A1971" t="str">
            <v>CANGKIRB</v>
          </cell>
          <cell r="B1971" t="str">
            <v>Teh Cangkir B</v>
          </cell>
          <cell r="C1971">
            <v>10</v>
          </cell>
          <cell r="D1971" t="str">
            <v>pak</v>
          </cell>
          <cell r="E1971">
            <v>44000</v>
          </cell>
          <cell r="G1971">
            <v>4400</v>
          </cell>
          <cell r="H1971">
            <v>5500</v>
          </cell>
          <cell r="I1971" t="str">
            <v>pc</v>
          </cell>
          <cell r="J1971">
            <v>5500</v>
          </cell>
          <cell r="K1971" t="str">
            <v>pc</v>
          </cell>
          <cell r="L1971">
            <v>5000</v>
          </cell>
          <cell r="M1971" t="str">
            <v>pc</v>
          </cell>
          <cell r="Q1971">
            <v>47000</v>
          </cell>
          <cell r="R1971">
            <v>10</v>
          </cell>
          <cell r="S1971" t="str">
            <v>pak</v>
          </cell>
          <cell r="W1971">
            <v>4600</v>
          </cell>
          <cell r="X1971" t="str">
            <v>pc</v>
          </cell>
          <cell r="Y1971">
            <v>4700</v>
          </cell>
          <cell r="Z1971" t="str">
            <v>pc</v>
          </cell>
        </row>
        <row r="1972">
          <cell r="A1972" t="str">
            <v>CANGKIRK</v>
          </cell>
          <cell r="B1972" t="str">
            <v>Teh Cangkir K</v>
          </cell>
          <cell r="C1972">
            <v>10</v>
          </cell>
          <cell r="D1972" t="str">
            <v>pak</v>
          </cell>
          <cell r="E1972">
            <v>23000</v>
          </cell>
          <cell r="G1972">
            <v>2300</v>
          </cell>
          <cell r="H1972">
            <v>3000</v>
          </cell>
          <cell r="I1972" t="str">
            <v>pc</v>
          </cell>
          <cell r="J1972">
            <v>3000</v>
          </cell>
          <cell r="K1972" t="str">
            <v>pc</v>
          </cell>
          <cell r="L1972">
            <v>2700</v>
          </cell>
          <cell r="M1972" t="str">
            <v>pc</v>
          </cell>
          <cell r="Q1972">
            <v>25000</v>
          </cell>
          <cell r="R1972">
            <v>10</v>
          </cell>
          <cell r="S1972" t="str">
            <v>pak</v>
          </cell>
          <cell r="W1972">
            <v>2400</v>
          </cell>
          <cell r="X1972" t="str">
            <v>pc</v>
          </cell>
          <cell r="Y1972">
            <v>2500</v>
          </cell>
          <cell r="Z1972" t="str">
            <v>pc</v>
          </cell>
        </row>
        <row r="1973">
          <cell r="A1973" t="str">
            <v>CANGKIR25</v>
          </cell>
          <cell r="B1973" t="str">
            <v>Teh Cangkir Kotak isi 25</v>
          </cell>
          <cell r="C1973">
            <v>6</v>
          </cell>
          <cell r="D1973" t="str">
            <v>pak</v>
          </cell>
          <cell r="E1973">
            <v>28500</v>
          </cell>
          <cell r="G1973">
            <v>4750</v>
          </cell>
          <cell r="H1973">
            <v>5500</v>
          </cell>
          <cell r="I1973" t="str">
            <v>pc</v>
          </cell>
        </row>
        <row r="1974">
          <cell r="A1974" t="str">
            <v>SATRIA25</v>
          </cell>
          <cell r="B1974" t="str">
            <v>Teh Gng Satria Kuning 25</v>
          </cell>
          <cell r="C1974">
            <v>48</v>
          </cell>
          <cell r="D1974" t="str">
            <v>pak</v>
          </cell>
          <cell r="E1974">
            <v>197000</v>
          </cell>
          <cell r="F1974">
            <v>66000</v>
          </cell>
          <cell r="G1974">
            <v>5500</v>
          </cell>
          <cell r="H1974">
            <v>6000</v>
          </cell>
          <cell r="I1974" t="str">
            <v>ktk</v>
          </cell>
          <cell r="J1974">
            <v>6000</v>
          </cell>
          <cell r="K1974" t="str">
            <v>ktk</v>
          </cell>
          <cell r="L1974">
            <v>6000</v>
          </cell>
          <cell r="M1974" t="str">
            <v>ktk</v>
          </cell>
          <cell r="T1974">
            <v>55200</v>
          </cell>
          <cell r="U1974">
            <v>12</v>
          </cell>
          <cell r="V1974" t="str">
            <v>lsn</v>
          </cell>
        </row>
        <row r="1975">
          <cell r="A1975" t="str">
            <v>SARIM20</v>
          </cell>
          <cell r="B1975" t="str">
            <v>Teh Sarimurni 20</v>
          </cell>
          <cell r="C1975">
            <v>48</v>
          </cell>
          <cell r="D1975" t="str">
            <v>ktk</v>
          </cell>
          <cell r="E1975">
            <v>201600</v>
          </cell>
          <cell r="F1975">
            <v>50400</v>
          </cell>
          <cell r="G1975">
            <v>4200</v>
          </cell>
          <cell r="H1975">
            <v>5000</v>
          </cell>
          <cell r="I1975" t="str">
            <v>bks</v>
          </cell>
          <cell r="J1975">
            <v>5000</v>
          </cell>
          <cell r="K1975" t="str">
            <v>bks</v>
          </cell>
          <cell r="L1975">
            <v>4700</v>
          </cell>
          <cell r="M1975" t="str">
            <v>bks</v>
          </cell>
          <cell r="T1975">
            <v>53000</v>
          </cell>
          <cell r="U1975">
            <v>12</v>
          </cell>
          <cell r="V1975" t="str">
            <v>lsn</v>
          </cell>
          <cell r="W1975">
            <v>4400</v>
          </cell>
          <cell r="X1975" t="str">
            <v>bks</v>
          </cell>
          <cell r="Y1975">
            <v>4500</v>
          </cell>
          <cell r="Z1975" t="str">
            <v>bks</v>
          </cell>
          <cell r="AA1975">
            <v>197500</v>
          </cell>
          <cell r="AB1975" t="str">
            <v>dos</v>
          </cell>
        </row>
        <row r="1976">
          <cell r="A1976" t="str">
            <v>SARIM25</v>
          </cell>
          <cell r="B1976" t="str">
            <v>Teh Sarimurni 25</v>
          </cell>
          <cell r="C1976">
            <v>48</v>
          </cell>
          <cell r="D1976" t="str">
            <v>ktk</v>
          </cell>
          <cell r="E1976">
            <v>259200</v>
          </cell>
          <cell r="F1976">
            <v>64800</v>
          </cell>
          <cell r="G1976">
            <v>5400</v>
          </cell>
          <cell r="H1976">
            <v>6000</v>
          </cell>
          <cell r="I1976" t="str">
            <v>ktk</v>
          </cell>
          <cell r="J1976">
            <v>5700</v>
          </cell>
          <cell r="K1976" t="str">
            <v>ktk</v>
          </cell>
          <cell r="L1976">
            <v>5600</v>
          </cell>
          <cell r="M1976" t="str">
            <v>ktk</v>
          </cell>
          <cell r="T1976">
            <v>66000</v>
          </cell>
          <cell r="U1976">
            <v>12</v>
          </cell>
          <cell r="V1976" t="str">
            <v>lsn</v>
          </cell>
          <cell r="W1976">
            <v>5450</v>
          </cell>
          <cell r="X1976" t="str">
            <v>pc</v>
          </cell>
          <cell r="Y1976">
            <v>5500</v>
          </cell>
          <cell r="Z1976" t="str">
            <v>pc</v>
          </cell>
        </row>
        <row r="1977">
          <cell r="A1977" t="str">
            <v>SARIM1</v>
          </cell>
          <cell r="B1977" t="str">
            <v>Teh Sarimurni Renteng</v>
          </cell>
          <cell r="C1977">
            <v>12</v>
          </cell>
          <cell r="D1977" t="str">
            <v>pcs</v>
          </cell>
          <cell r="E1977">
            <v>14400</v>
          </cell>
          <cell r="F1977">
            <v>216000</v>
          </cell>
          <cell r="G1977">
            <v>1200</v>
          </cell>
          <cell r="H1977">
            <v>2000</v>
          </cell>
          <cell r="I1977" t="str">
            <v>pc</v>
          </cell>
          <cell r="J1977">
            <v>2000</v>
          </cell>
          <cell r="K1977" t="str">
            <v>pc</v>
          </cell>
          <cell r="L1977">
            <v>1400</v>
          </cell>
          <cell r="M1977" t="str">
            <v>pc</v>
          </cell>
          <cell r="N1977">
            <v>16000</v>
          </cell>
          <cell r="P1977" t="str">
            <v>rtg</v>
          </cell>
        </row>
        <row r="1978">
          <cell r="A1978" t="str">
            <v>SARIw100</v>
          </cell>
          <cell r="B1978" t="str">
            <v>Teh Sariwangi 100</v>
          </cell>
          <cell r="C1978">
            <v>12</v>
          </cell>
          <cell r="D1978" t="str">
            <v>dos</v>
          </cell>
          <cell r="E1978">
            <v>208000</v>
          </cell>
          <cell r="G1978">
            <v>17333.333333333332</v>
          </cell>
          <cell r="H1978">
            <v>19000</v>
          </cell>
          <cell r="I1978" t="str">
            <v>ktk</v>
          </cell>
          <cell r="J1978">
            <v>18500</v>
          </cell>
          <cell r="K1978" t="str">
            <v>ktk</v>
          </cell>
          <cell r="L1978">
            <v>18500</v>
          </cell>
          <cell r="M1978" t="str">
            <v>ktk</v>
          </cell>
        </row>
        <row r="1979">
          <cell r="A1979" t="str">
            <v>SARIW25</v>
          </cell>
          <cell r="B1979" t="str">
            <v>Teh Sariwangi 25</v>
          </cell>
          <cell r="C1979">
            <v>48</v>
          </cell>
          <cell r="D1979" t="str">
            <v>ktk</v>
          </cell>
          <cell r="E1979">
            <v>288000</v>
          </cell>
          <cell r="F1979">
            <v>72000</v>
          </cell>
          <cell r="G1979">
            <v>6000</v>
          </cell>
          <cell r="H1979">
            <v>6500</v>
          </cell>
          <cell r="I1979" t="str">
            <v>ktk</v>
          </cell>
          <cell r="J1979">
            <v>6500</v>
          </cell>
          <cell r="K1979" t="str">
            <v>ktk</v>
          </cell>
          <cell r="L1979">
            <v>6500</v>
          </cell>
          <cell r="M1979" t="str">
            <v>ktk</v>
          </cell>
          <cell r="T1979">
            <v>63000</v>
          </cell>
          <cell r="U1979">
            <v>12</v>
          </cell>
          <cell r="V1979" t="str">
            <v>lsn</v>
          </cell>
          <cell r="W1979">
            <v>5200</v>
          </cell>
          <cell r="X1979" t="str">
            <v>ktk</v>
          </cell>
          <cell r="Y1979">
            <v>5250</v>
          </cell>
          <cell r="Z1979" t="str">
            <v>ktk</v>
          </cell>
        </row>
        <row r="1980">
          <cell r="A1980" t="str">
            <v>SARIw50</v>
          </cell>
          <cell r="B1980" t="str">
            <v>Teh Sariwangi 50</v>
          </cell>
          <cell r="C1980">
            <v>6</v>
          </cell>
          <cell r="D1980" t="str">
            <v>ktk</v>
          </cell>
          <cell r="E1980">
            <v>55000</v>
          </cell>
          <cell r="F1980">
            <v>110000</v>
          </cell>
          <cell r="G1980">
            <v>9166.6666666666661</v>
          </cell>
          <cell r="H1980">
            <v>10000</v>
          </cell>
          <cell r="I1980" t="str">
            <v>ktk</v>
          </cell>
          <cell r="J1980">
            <v>10000</v>
          </cell>
          <cell r="K1980" t="str">
            <v>ktk</v>
          </cell>
          <cell r="L1980">
            <v>9500</v>
          </cell>
          <cell r="M1980" t="str">
            <v>ktk</v>
          </cell>
          <cell r="Z1980">
            <v>0</v>
          </cell>
        </row>
        <row r="1981">
          <cell r="A1981" t="str">
            <v>SARIW1B</v>
          </cell>
          <cell r="B1981" t="str">
            <v>Teh Sariwangi Biasa renteng</v>
          </cell>
          <cell r="C1981">
            <v>6</v>
          </cell>
          <cell r="D1981" t="str">
            <v>pcs</v>
          </cell>
          <cell r="E1981">
            <v>4950</v>
          </cell>
          <cell r="F1981">
            <v>237600</v>
          </cell>
          <cell r="G1981">
            <v>825</v>
          </cell>
          <cell r="N1981">
            <v>6000</v>
          </cell>
          <cell r="P1981" t="str">
            <v>rtg</v>
          </cell>
        </row>
        <row r="1982">
          <cell r="A1982" t="str">
            <v>SARIW1M</v>
          </cell>
          <cell r="B1982" t="str">
            <v>Teh Sariwangi Melati renteng</v>
          </cell>
          <cell r="C1982">
            <v>12</v>
          </cell>
          <cell r="D1982" t="str">
            <v>pcs</v>
          </cell>
          <cell r="E1982">
            <v>15000</v>
          </cell>
          <cell r="F1982">
            <v>180000</v>
          </cell>
          <cell r="G1982">
            <v>1250</v>
          </cell>
        </row>
        <row r="1983">
          <cell r="A1983" t="str">
            <v>TELUR</v>
          </cell>
          <cell r="B1983" t="str">
            <v>Telur Ayam</v>
          </cell>
          <cell r="C1983">
            <v>6</v>
          </cell>
          <cell r="D1983" t="str">
            <v>prg</v>
          </cell>
          <cell r="E1983">
            <v>275000</v>
          </cell>
          <cell r="F1983">
            <v>45833.333333333336</v>
          </cell>
          <cell r="G1983">
            <v>1527.7777777777778</v>
          </cell>
          <cell r="H1983">
            <v>1800</v>
          </cell>
          <cell r="I1983" t="str">
            <v>btr</v>
          </cell>
          <cell r="J1983">
            <v>1800</v>
          </cell>
          <cell r="K1983" t="str">
            <v>btr</v>
          </cell>
          <cell r="L1983">
            <v>1800</v>
          </cell>
          <cell r="M1983" t="str">
            <v>btr</v>
          </cell>
          <cell r="Q1983">
            <v>49000</v>
          </cell>
          <cell r="S1983" t="str">
            <v>prg</v>
          </cell>
          <cell r="V1983" t="str">
            <v>prg</v>
          </cell>
        </row>
        <row r="1984">
          <cell r="A1984" t="str">
            <v>PUYUH</v>
          </cell>
          <cell r="B1984" t="str">
            <v>Telur Puyuh</v>
          </cell>
          <cell r="C1984">
            <v>10</v>
          </cell>
          <cell r="D1984" t="str">
            <v>prg</v>
          </cell>
          <cell r="E1984">
            <v>225000</v>
          </cell>
          <cell r="F1984">
            <v>750</v>
          </cell>
          <cell r="G1984">
            <v>22500</v>
          </cell>
          <cell r="Q1984">
            <v>25000</v>
          </cell>
          <cell r="S1984" t="str">
            <v>prg</v>
          </cell>
        </row>
        <row r="1985">
          <cell r="A1985" t="str">
            <v>KKALASAN</v>
          </cell>
          <cell r="B1985" t="str">
            <v>Bumbu KALASAN</v>
          </cell>
          <cell r="C1985">
            <v>20</v>
          </cell>
          <cell r="D1985" t="str">
            <v>pcs</v>
          </cell>
          <cell r="E1985">
            <v>50000</v>
          </cell>
          <cell r="F1985">
            <v>30000</v>
          </cell>
          <cell r="G1985">
            <v>2500</v>
          </cell>
          <cell r="H1985">
            <v>3500</v>
          </cell>
          <cell r="I1985" t="str">
            <v>pc</v>
          </cell>
          <cell r="J1985">
            <v>3500</v>
          </cell>
          <cell r="K1985" t="str">
            <v>pc</v>
          </cell>
          <cell r="L1985">
            <v>2900</v>
          </cell>
          <cell r="M1985" t="str">
            <v>pc</v>
          </cell>
          <cell r="Q1985">
            <v>53000</v>
          </cell>
          <cell r="S1985" t="str">
            <v>pak</v>
          </cell>
          <cell r="T1985">
            <v>32000</v>
          </cell>
          <cell r="V1985" t="str">
            <v>lsn</v>
          </cell>
          <cell r="W1985">
            <v>2650</v>
          </cell>
          <cell r="X1985" t="str">
            <v>pc</v>
          </cell>
          <cell r="Y1985">
            <v>2666.6666666666665</v>
          </cell>
          <cell r="Z1985" t="str">
            <v>pc</v>
          </cell>
        </row>
        <row r="1986">
          <cell r="A1986" t="str">
            <v>TROTIR</v>
          </cell>
          <cell r="B1986" t="str">
            <v>Tepung ROTI Renteng</v>
          </cell>
          <cell r="C1986">
            <v>10</v>
          </cell>
          <cell r="D1986" t="str">
            <v>pcs</v>
          </cell>
          <cell r="E1986">
            <v>13500</v>
          </cell>
          <cell r="F1986">
            <v>27000</v>
          </cell>
          <cell r="G1986">
            <v>1350</v>
          </cell>
          <cell r="H1986">
            <v>2000</v>
          </cell>
          <cell r="I1986" t="str">
            <v>pc</v>
          </cell>
          <cell r="J1986">
            <v>2000</v>
          </cell>
          <cell r="K1986" t="str">
            <v>pc</v>
          </cell>
          <cell r="L1986">
            <v>1700</v>
          </cell>
          <cell r="M1986" t="str">
            <v>pc</v>
          </cell>
          <cell r="N1986">
            <v>15500</v>
          </cell>
          <cell r="P1986" t="str">
            <v>rtg</v>
          </cell>
          <cell r="Q1986">
            <v>29500</v>
          </cell>
          <cell r="S1986" t="str">
            <v>pak</v>
          </cell>
          <cell r="W1986">
            <v>1450</v>
          </cell>
          <cell r="X1986" t="str">
            <v>pc</v>
          </cell>
          <cell r="Y1986">
            <v>1475</v>
          </cell>
          <cell r="Z1986" t="str">
            <v>pc</v>
          </cell>
        </row>
        <row r="1987">
          <cell r="A1987" t="str">
            <v>HAVANA</v>
          </cell>
          <cell r="B1987" t="str">
            <v>TEPUNG HAVANA</v>
          </cell>
          <cell r="C1987">
            <v>12</v>
          </cell>
          <cell r="D1987" t="str">
            <v>pcs</v>
          </cell>
          <cell r="E1987">
            <v>52000</v>
          </cell>
          <cell r="G1987">
            <v>4333.333333333333</v>
          </cell>
          <cell r="H1987">
            <v>6000</v>
          </cell>
          <cell r="I1987" t="str">
            <v>pc</v>
          </cell>
          <cell r="J1987">
            <v>6000</v>
          </cell>
          <cell r="K1987" t="str">
            <v>pc</v>
          </cell>
          <cell r="L1987">
            <v>5500</v>
          </cell>
          <cell r="M1987" t="str">
            <v>pc</v>
          </cell>
        </row>
        <row r="1988">
          <cell r="A1988" t="str">
            <v>TERASIM</v>
          </cell>
          <cell r="B1988" t="str">
            <v>Terasi Udang Mama Suka</v>
          </cell>
          <cell r="C1988">
            <v>20</v>
          </cell>
          <cell r="D1988" t="str">
            <v>pak</v>
          </cell>
          <cell r="E1988">
            <v>4500</v>
          </cell>
          <cell r="F1988">
            <v>72000</v>
          </cell>
          <cell r="G1988">
            <v>225</v>
          </cell>
          <cell r="Q1988">
            <v>5500</v>
          </cell>
          <cell r="R1988">
            <v>20</v>
          </cell>
          <cell r="S1988" t="str">
            <v>pak</v>
          </cell>
        </row>
        <row r="1989">
          <cell r="A1989" t="str">
            <v>TERASIABC</v>
          </cell>
          <cell r="B1989" t="str">
            <v>Terasi Udang Abc</v>
          </cell>
          <cell r="C1989">
            <v>20</v>
          </cell>
          <cell r="D1989" t="str">
            <v>pak</v>
          </cell>
          <cell r="E1989">
            <v>5515.155555555556</v>
          </cell>
          <cell r="F1989">
            <v>198545.6</v>
          </cell>
          <cell r="G1989">
            <v>275.75777777777779</v>
          </cell>
          <cell r="H1989">
            <v>500</v>
          </cell>
          <cell r="I1989" t="str">
            <v>PC</v>
          </cell>
          <cell r="J1989">
            <v>500</v>
          </cell>
          <cell r="K1989" t="str">
            <v>PC</v>
          </cell>
          <cell r="L1989">
            <v>500</v>
          </cell>
          <cell r="M1989" t="str">
            <v>PC</v>
          </cell>
          <cell r="Q1989">
            <v>6500</v>
          </cell>
          <cell r="R1989">
            <v>20</v>
          </cell>
          <cell r="S1989" t="str">
            <v>pak</v>
          </cell>
        </row>
        <row r="1990">
          <cell r="A1990" t="str">
            <v>TERASIWALO</v>
          </cell>
          <cell r="B1990" t="str">
            <v>Terasi Udang biasa/dua walo</v>
          </cell>
          <cell r="C1990">
            <v>10</v>
          </cell>
          <cell r="D1990" t="str">
            <v>rtg</v>
          </cell>
          <cell r="E1990">
            <v>29800</v>
          </cell>
          <cell r="F1990">
            <v>298000</v>
          </cell>
          <cell r="G1990">
            <v>298000</v>
          </cell>
          <cell r="H1990">
            <v>3500</v>
          </cell>
          <cell r="I1990" t="str">
            <v>rtg</v>
          </cell>
          <cell r="J1990">
            <v>3500</v>
          </cell>
          <cell r="K1990" t="str">
            <v>rtg</v>
          </cell>
          <cell r="L1990">
            <v>3500</v>
          </cell>
          <cell r="M1990" t="str">
            <v>rtg</v>
          </cell>
          <cell r="Q1990">
            <v>33000</v>
          </cell>
          <cell r="R1990">
            <v>10</v>
          </cell>
          <cell r="S1990" t="str">
            <v>pak</v>
          </cell>
          <cell r="Y1990">
            <v>3300</v>
          </cell>
          <cell r="Z1990" t="str">
            <v>rtg</v>
          </cell>
        </row>
        <row r="1991">
          <cell r="A1991" t="str">
            <v>PASEO120</v>
          </cell>
          <cell r="B1991" t="str">
            <v>Tisu Kotak Paseo 120</v>
          </cell>
          <cell r="C1991">
            <v>40</v>
          </cell>
          <cell r="D1991" t="str">
            <v>ktk</v>
          </cell>
          <cell r="E1991">
            <v>305000</v>
          </cell>
          <cell r="F1991">
            <v>91500</v>
          </cell>
          <cell r="G1991">
            <v>7625</v>
          </cell>
          <cell r="H1991">
            <v>8500</v>
          </cell>
          <cell r="I1991" t="str">
            <v>pc</v>
          </cell>
          <cell r="J1991">
            <v>8500</v>
          </cell>
          <cell r="K1991" t="str">
            <v>pc</v>
          </cell>
          <cell r="L1991">
            <v>8000</v>
          </cell>
          <cell r="M1991" t="str">
            <v>pc</v>
          </cell>
          <cell r="T1991">
            <v>93500</v>
          </cell>
          <cell r="U1991">
            <v>12</v>
          </cell>
          <cell r="V1991" t="str">
            <v>lsn</v>
          </cell>
          <cell r="W1991">
            <v>7700</v>
          </cell>
          <cell r="X1991" t="str">
            <v>pc</v>
          </cell>
          <cell r="Y1991">
            <v>7800</v>
          </cell>
          <cell r="Z1991" t="str">
            <v>pc</v>
          </cell>
        </row>
        <row r="1992">
          <cell r="A1992" t="str">
            <v>PASEO50</v>
          </cell>
          <cell r="B1992" t="str">
            <v>Tisu Paseo 50</v>
          </cell>
          <cell r="C1992">
            <v>80</v>
          </cell>
          <cell r="D1992" t="str">
            <v>ktk</v>
          </cell>
          <cell r="E1992">
            <v>134400</v>
          </cell>
          <cell r="F1992">
            <v>20160</v>
          </cell>
          <cell r="G1992">
            <v>1680</v>
          </cell>
          <cell r="H1992">
            <v>4000</v>
          </cell>
          <cell r="I1992" t="str">
            <v>pc</v>
          </cell>
          <cell r="J1992">
            <v>4000</v>
          </cell>
          <cell r="K1992" t="str">
            <v>pc</v>
          </cell>
          <cell r="L1992">
            <v>3500</v>
          </cell>
          <cell r="M1992" t="str">
            <v>pc</v>
          </cell>
        </row>
        <row r="1993">
          <cell r="A1993" t="str">
            <v>PASEO250</v>
          </cell>
          <cell r="B1993" t="str">
            <v>Tisu Kotak Paseo 250</v>
          </cell>
          <cell r="C1993">
            <v>48</v>
          </cell>
          <cell r="D1993" t="str">
            <v>ktk</v>
          </cell>
          <cell r="E1993">
            <v>476000</v>
          </cell>
          <cell r="F1993">
            <v>119000</v>
          </cell>
          <cell r="G1993">
            <v>9916.6666666666661</v>
          </cell>
          <cell r="H1993">
            <v>11000</v>
          </cell>
          <cell r="I1993" t="str">
            <v>ktk</v>
          </cell>
          <cell r="J1993">
            <v>11000</v>
          </cell>
          <cell r="K1993" t="str">
            <v>ktk</v>
          </cell>
          <cell r="L1993">
            <v>10500</v>
          </cell>
          <cell r="M1993" t="str">
            <v>ktk</v>
          </cell>
        </row>
        <row r="1994">
          <cell r="A1994" t="str">
            <v>PASEOW6</v>
          </cell>
          <cell r="B1994" t="str">
            <v>PASEO TISU WAJAH  1 PAK ISI 6</v>
          </cell>
          <cell r="C1994">
            <v>6</v>
          </cell>
          <cell r="D1994" t="str">
            <v>pcs</v>
          </cell>
          <cell r="E1994">
            <v>4100</v>
          </cell>
          <cell r="F1994">
            <v>164000</v>
          </cell>
          <cell r="G1994">
            <v>683.33333333333337</v>
          </cell>
          <cell r="H1994">
            <v>2000</v>
          </cell>
          <cell r="I1994" t="str">
            <v>pc</v>
          </cell>
          <cell r="J1994">
            <v>2000</v>
          </cell>
          <cell r="K1994" t="str">
            <v>pc</v>
          </cell>
          <cell r="L1994">
            <v>2000</v>
          </cell>
          <cell r="M1994" t="str">
            <v>pc</v>
          </cell>
          <cell r="Q1994">
            <v>6000</v>
          </cell>
          <cell r="S1994" t="str">
            <v>pak</v>
          </cell>
        </row>
        <row r="1995">
          <cell r="A1995" t="str">
            <v>PASEOW10</v>
          </cell>
          <cell r="B1995" t="str">
            <v>PASEO TISU WAJAH  1 PAK ISI 10</v>
          </cell>
          <cell r="C1995">
            <v>10</v>
          </cell>
          <cell r="D1995" t="str">
            <v>pcs</v>
          </cell>
          <cell r="E1995">
            <v>11780.833333333334</v>
          </cell>
          <cell r="F1995">
            <v>70685</v>
          </cell>
          <cell r="G1995">
            <v>1178.0833333333335</v>
          </cell>
          <cell r="H1995">
            <v>2000</v>
          </cell>
          <cell r="I1995" t="str">
            <v>pc</v>
          </cell>
          <cell r="J1995">
            <v>2000</v>
          </cell>
          <cell r="K1995" t="str">
            <v>pc</v>
          </cell>
          <cell r="L1995">
            <v>2000</v>
          </cell>
          <cell r="M1995" t="str">
            <v>pc</v>
          </cell>
          <cell r="Q1995">
            <v>14500</v>
          </cell>
          <cell r="S1995" t="str">
            <v>pak</v>
          </cell>
        </row>
        <row r="1996">
          <cell r="A1996" t="str">
            <v>PASEOT</v>
          </cell>
          <cell r="B1996" t="str">
            <v>PASEO TISU TOWEL ISI 3</v>
          </cell>
          <cell r="C1996">
            <v>3</v>
          </cell>
          <cell r="D1996" t="str">
            <v>pcs</v>
          </cell>
          <cell r="E1996">
            <v>27275</v>
          </cell>
          <cell r="F1996">
            <v>163650</v>
          </cell>
          <cell r="G1996">
            <v>9091.6666666666661</v>
          </cell>
          <cell r="H1996">
            <v>10000</v>
          </cell>
          <cell r="I1996" t="str">
            <v>pc</v>
          </cell>
          <cell r="J1996">
            <v>10000</v>
          </cell>
          <cell r="K1996" t="str">
            <v>pc</v>
          </cell>
          <cell r="L1996">
            <v>10000</v>
          </cell>
          <cell r="M1996" t="str">
            <v>pc</v>
          </cell>
        </row>
        <row r="1997">
          <cell r="A1997" t="str">
            <v>NICE900</v>
          </cell>
          <cell r="B1997" t="str">
            <v>Tisu NICE 900 GR</v>
          </cell>
          <cell r="C1997">
            <v>20</v>
          </cell>
          <cell r="D1997" t="str">
            <v>pcs</v>
          </cell>
          <cell r="E1997">
            <v>690000</v>
          </cell>
          <cell r="G1997">
            <v>34500</v>
          </cell>
          <cell r="H1997">
            <v>36000</v>
          </cell>
          <cell r="I1997" t="str">
            <v>pc</v>
          </cell>
          <cell r="J1997">
            <v>35500</v>
          </cell>
          <cell r="K1997" t="str">
            <v>pc</v>
          </cell>
          <cell r="L1997">
            <v>35000</v>
          </cell>
          <cell r="M1997" t="str">
            <v>pc</v>
          </cell>
        </row>
        <row r="1998">
          <cell r="A1998" t="str">
            <v>NICE180</v>
          </cell>
          <cell r="B1998" t="str">
            <v>Tisu NICE 180</v>
          </cell>
          <cell r="C1998">
            <v>60</v>
          </cell>
          <cell r="D1998" t="str">
            <v>pcs</v>
          </cell>
          <cell r="E1998">
            <v>347368</v>
          </cell>
          <cell r="G1998">
            <v>5789.4666666666662</v>
          </cell>
          <cell r="H1998">
            <v>7000</v>
          </cell>
          <cell r="I1998" t="str">
            <v>pc</v>
          </cell>
          <cell r="J1998">
            <v>7000</v>
          </cell>
          <cell r="K1998" t="str">
            <v>pc</v>
          </cell>
          <cell r="L1998">
            <v>7000</v>
          </cell>
          <cell r="M1998" t="str">
            <v>pc</v>
          </cell>
        </row>
        <row r="1999">
          <cell r="A1999" t="str">
            <v>NICE200</v>
          </cell>
          <cell r="B1999" t="str">
            <v>Tisu NICE 200</v>
          </cell>
          <cell r="C1999">
            <v>40</v>
          </cell>
          <cell r="D1999" t="str">
            <v>pcs</v>
          </cell>
          <cell r="E1999">
            <v>320000</v>
          </cell>
          <cell r="F1999">
            <v>15839.5</v>
          </cell>
          <cell r="G1999">
            <v>8000</v>
          </cell>
          <cell r="H1999">
            <v>8500</v>
          </cell>
          <cell r="I1999" t="str">
            <v>pc</v>
          </cell>
          <cell r="J1999">
            <v>8500</v>
          </cell>
          <cell r="K1999" t="str">
            <v>pc</v>
          </cell>
          <cell r="L1999">
            <v>8500</v>
          </cell>
          <cell r="M1999" t="str">
            <v>pc</v>
          </cell>
        </row>
        <row r="2000">
          <cell r="A2000" t="str">
            <v>NICE60</v>
          </cell>
          <cell r="B2000" t="str">
            <v>Tisu NICE 60</v>
          </cell>
          <cell r="C2000">
            <v>96</v>
          </cell>
          <cell r="D2000" t="str">
            <v>pcs</v>
          </cell>
          <cell r="E2000">
            <v>271200</v>
          </cell>
          <cell r="G2000">
            <v>2825</v>
          </cell>
          <cell r="H2000">
            <v>5000</v>
          </cell>
          <cell r="I2000" t="str">
            <v>pc</v>
          </cell>
          <cell r="J2000">
            <v>5000</v>
          </cell>
          <cell r="K2000" t="str">
            <v>pc</v>
          </cell>
          <cell r="L2000">
            <v>5000</v>
          </cell>
          <cell r="M2000" t="str">
            <v>pc</v>
          </cell>
        </row>
        <row r="2001">
          <cell r="A2001" t="str">
            <v>JOLLY90</v>
          </cell>
          <cell r="B2001" t="str">
            <v>Tisu JOLLY 90</v>
          </cell>
          <cell r="C2001">
            <v>100</v>
          </cell>
          <cell r="D2001" t="str">
            <v>pcs</v>
          </cell>
          <cell r="E2001">
            <v>267500</v>
          </cell>
          <cell r="G2001">
            <v>2675</v>
          </cell>
          <cell r="H2001">
            <v>4000</v>
          </cell>
          <cell r="I2001" t="str">
            <v>pc</v>
          </cell>
          <cell r="J2001">
            <v>4000</v>
          </cell>
          <cell r="K2001" t="str">
            <v>pc</v>
          </cell>
          <cell r="L2001">
            <v>4000</v>
          </cell>
          <cell r="M2001" t="str">
            <v>pc</v>
          </cell>
        </row>
        <row r="2002">
          <cell r="A2002" t="str">
            <v>TOPLY100</v>
          </cell>
          <cell r="B2002" t="str">
            <v>Tisu TOPLY 100</v>
          </cell>
          <cell r="C2002">
            <v>60</v>
          </cell>
          <cell r="D2002" t="str">
            <v>pcs</v>
          </cell>
          <cell r="E2002">
            <v>181500</v>
          </cell>
          <cell r="G2002">
            <v>3025</v>
          </cell>
          <cell r="H2002">
            <v>4000</v>
          </cell>
          <cell r="I2002" t="str">
            <v>pc</v>
          </cell>
          <cell r="J2002">
            <v>4000</v>
          </cell>
          <cell r="K2002" t="str">
            <v>pc</v>
          </cell>
          <cell r="L2002">
            <v>4000</v>
          </cell>
          <cell r="M2002" t="str">
            <v>pc</v>
          </cell>
        </row>
        <row r="2003">
          <cell r="A2003" t="str">
            <v>TOKIL</v>
          </cell>
          <cell r="B2003" t="str">
            <v>TOKI LONG STICK</v>
          </cell>
          <cell r="C2003">
            <v>50</v>
          </cell>
          <cell r="D2003" t="str">
            <v>tpls</v>
          </cell>
          <cell r="E2003">
            <v>17250</v>
          </cell>
          <cell r="F2003">
            <v>207000</v>
          </cell>
          <cell r="G2003">
            <v>345</v>
          </cell>
          <cell r="Q2003">
            <v>19000</v>
          </cell>
          <cell r="R2003">
            <v>50</v>
          </cell>
          <cell r="S2003" t="str">
            <v>tpls</v>
          </cell>
          <cell r="AA2003">
            <v>210000</v>
          </cell>
          <cell r="AB2003" t="str">
            <v>dos</v>
          </cell>
        </row>
        <row r="2004">
          <cell r="A2004" t="str">
            <v>TBERAS</v>
          </cell>
          <cell r="B2004" t="str">
            <v>Tpg. Beras Rose Brand</v>
          </cell>
          <cell r="C2004">
            <v>20</v>
          </cell>
          <cell r="D2004" t="str">
            <v>pcs</v>
          </cell>
          <cell r="E2004">
            <v>124000</v>
          </cell>
          <cell r="F2004">
            <v>78000</v>
          </cell>
          <cell r="G2004">
            <v>6500</v>
          </cell>
          <cell r="H2004">
            <v>7000</v>
          </cell>
          <cell r="I2004" t="str">
            <v>bks</v>
          </cell>
          <cell r="J2004">
            <v>7000</v>
          </cell>
          <cell r="K2004" t="str">
            <v>bks</v>
          </cell>
          <cell r="L2004">
            <v>7000</v>
          </cell>
          <cell r="M2004" t="str">
            <v>bks</v>
          </cell>
          <cell r="W2004">
            <v>6500</v>
          </cell>
          <cell r="X2004" t="str">
            <v>bks</v>
          </cell>
          <cell r="Y2004">
            <v>6500</v>
          </cell>
          <cell r="Z2004" t="str">
            <v>bks</v>
          </cell>
        </row>
        <row r="2005">
          <cell r="A2005" t="str">
            <v>TPISANG</v>
          </cell>
          <cell r="B2005" t="str">
            <v>Tpg. Pisang Goreng Sasa 225 gr</v>
          </cell>
          <cell r="C2005">
            <v>24</v>
          </cell>
          <cell r="D2005" t="str">
            <v>pcs</v>
          </cell>
          <cell r="E2005">
            <v>117000</v>
          </cell>
          <cell r="F2005">
            <v>117000</v>
          </cell>
          <cell r="G2005">
            <v>4875</v>
          </cell>
          <cell r="H2005">
            <v>6500</v>
          </cell>
          <cell r="I2005" t="str">
            <v>pc</v>
          </cell>
          <cell r="J2005">
            <v>6500</v>
          </cell>
          <cell r="K2005" t="str">
            <v>pc</v>
          </cell>
          <cell r="L2005">
            <v>6000</v>
          </cell>
          <cell r="M2005" t="str">
            <v>pc</v>
          </cell>
        </row>
        <row r="2006">
          <cell r="A2006" t="str">
            <v>TSAJIKU</v>
          </cell>
          <cell r="B2006" t="str">
            <v>Tpg. Bumbu Sajiku</v>
          </cell>
          <cell r="C2006">
            <v>10</v>
          </cell>
          <cell r="D2006" t="str">
            <v>rtg</v>
          </cell>
          <cell r="E2006">
            <v>22000</v>
          </cell>
          <cell r="F2006">
            <v>239000</v>
          </cell>
          <cell r="G2006">
            <v>2200</v>
          </cell>
          <cell r="H2006">
            <v>2500</v>
          </cell>
          <cell r="I2006" t="str">
            <v>pc</v>
          </cell>
          <cell r="J2006">
            <v>2500</v>
          </cell>
          <cell r="K2006" t="str">
            <v>pc</v>
          </cell>
          <cell r="L2006">
            <v>2300</v>
          </cell>
          <cell r="M2006" t="str">
            <v>pc</v>
          </cell>
          <cell r="N2006">
            <v>23000</v>
          </cell>
          <cell r="O2006">
            <v>10</v>
          </cell>
          <cell r="P2006" t="str">
            <v>rtg</v>
          </cell>
        </row>
        <row r="2007">
          <cell r="A2007" t="str">
            <v>TSAJIKUT</v>
          </cell>
          <cell r="B2007" t="str">
            <v>Tpg. Bumbu Sajiku Tempe</v>
          </cell>
          <cell r="C2007">
            <v>10</v>
          </cell>
          <cell r="D2007" t="str">
            <v>rtg</v>
          </cell>
          <cell r="E2007">
            <v>9000</v>
          </cell>
          <cell r="G2007">
            <v>900</v>
          </cell>
          <cell r="H2007">
            <v>1500</v>
          </cell>
          <cell r="I2007" t="str">
            <v>pc</v>
          </cell>
          <cell r="J2007">
            <v>1500</v>
          </cell>
          <cell r="K2007" t="str">
            <v>pc</v>
          </cell>
          <cell r="N2007">
            <v>10000</v>
          </cell>
          <cell r="O2007">
            <v>10</v>
          </cell>
          <cell r="P2007" t="str">
            <v>rtg</v>
          </cell>
        </row>
        <row r="2008">
          <cell r="A2008" t="str">
            <v>TGATOT</v>
          </cell>
          <cell r="B2008" t="str">
            <v>Tpg. GATOT</v>
          </cell>
          <cell r="C2008">
            <v>25</v>
          </cell>
          <cell r="D2008" t="str">
            <v>kg</v>
          </cell>
          <cell r="E2008">
            <v>155000</v>
          </cell>
          <cell r="G2008">
            <v>6200</v>
          </cell>
        </row>
        <row r="2009">
          <cell r="A2009" t="str">
            <v>HUNGKWE</v>
          </cell>
          <cell r="B2009" t="str">
            <v>Tpg. Hungkwe</v>
          </cell>
          <cell r="C2009">
            <v>10</v>
          </cell>
          <cell r="D2009" t="str">
            <v>pak</v>
          </cell>
          <cell r="E2009">
            <v>20000</v>
          </cell>
          <cell r="G2009">
            <v>2000</v>
          </cell>
          <cell r="H2009">
            <v>3000</v>
          </cell>
          <cell r="I2009" t="str">
            <v>bks</v>
          </cell>
          <cell r="J2009">
            <v>3000</v>
          </cell>
          <cell r="K2009" t="str">
            <v>bks</v>
          </cell>
          <cell r="L2009">
            <v>2500</v>
          </cell>
          <cell r="M2009" t="str">
            <v>bks</v>
          </cell>
          <cell r="Q2009">
            <v>22000</v>
          </cell>
          <cell r="S2009" t="str">
            <v>pak</v>
          </cell>
        </row>
        <row r="2010">
          <cell r="A2010" t="str">
            <v>TKANJIR</v>
          </cell>
          <cell r="B2010" t="str">
            <v>Tpg. Kanji Rose Brand</v>
          </cell>
          <cell r="C2010">
            <v>20</v>
          </cell>
          <cell r="D2010" t="str">
            <v>bks</v>
          </cell>
          <cell r="E2010">
            <v>116000</v>
          </cell>
          <cell r="F2010">
            <v>69600</v>
          </cell>
          <cell r="G2010">
            <v>5800</v>
          </cell>
          <cell r="H2010">
            <v>6500</v>
          </cell>
          <cell r="I2010" t="str">
            <v>bks</v>
          </cell>
          <cell r="J2010">
            <v>6500</v>
          </cell>
          <cell r="K2010" t="str">
            <v>bks</v>
          </cell>
          <cell r="L2010">
            <v>6200</v>
          </cell>
          <cell r="M2010" t="str">
            <v>bks</v>
          </cell>
          <cell r="W2010">
            <v>6000</v>
          </cell>
          <cell r="X2010" t="str">
            <v>bks</v>
          </cell>
          <cell r="Y2010">
            <v>6100</v>
          </cell>
          <cell r="Z2010" t="str">
            <v>bks</v>
          </cell>
          <cell r="AA2010">
            <v>120000</v>
          </cell>
          <cell r="AB2010" t="str">
            <v>dos</v>
          </cell>
        </row>
        <row r="2011">
          <cell r="A2011" t="str">
            <v>TKANJIK</v>
          </cell>
          <cell r="B2011" t="str">
            <v>Tpg. Kanji Kiloan</v>
          </cell>
          <cell r="C2011">
            <v>24.5</v>
          </cell>
          <cell r="D2011" t="str">
            <v>bks</v>
          </cell>
          <cell r="E2011">
            <v>245000</v>
          </cell>
          <cell r="F2011">
            <v>120000</v>
          </cell>
          <cell r="G2011">
            <v>10000</v>
          </cell>
          <cell r="H2011">
            <v>11000</v>
          </cell>
          <cell r="I2011" t="str">
            <v>kg</v>
          </cell>
          <cell r="J2011">
            <v>10700</v>
          </cell>
          <cell r="K2011" t="str">
            <v>kg</v>
          </cell>
          <cell r="L2011">
            <v>10500</v>
          </cell>
          <cell r="M2011" t="str">
            <v>kg</v>
          </cell>
        </row>
        <row r="2012">
          <cell r="A2012" t="str">
            <v>TKETAN</v>
          </cell>
          <cell r="B2012" t="str">
            <v>Tpg. Ketan Rose Brand</v>
          </cell>
          <cell r="C2012">
            <v>10</v>
          </cell>
          <cell r="D2012" t="str">
            <v>pak</v>
          </cell>
          <cell r="E2012">
            <v>105000</v>
          </cell>
          <cell r="F2012">
            <v>126000</v>
          </cell>
          <cell r="G2012">
            <v>10500</v>
          </cell>
          <cell r="H2012">
            <v>12000</v>
          </cell>
          <cell r="I2012" t="str">
            <v>bks</v>
          </cell>
          <cell r="J2012">
            <v>11500</v>
          </cell>
          <cell r="K2012" t="str">
            <v>bks</v>
          </cell>
          <cell r="L2012">
            <v>11500</v>
          </cell>
          <cell r="M2012" t="str">
            <v>bks</v>
          </cell>
        </row>
        <row r="2013">
          <cell r="A2013" t="str">
            <v>TKOMPASB</v>
          </cell>
          <cell r="B2013" t="str">
            <v>Tpg. Kompas Bungkusan</v>
          </cell>
          <cell r="C2013">
            <v>20</v>
          </cell>
          <cell r="D2013" t="str">
            <v>dos</v>
          </cell>
          <cell r="E2013">
            <v>160000</v>
          </cell>
          <cell r="F2013">
            <v>96000</v>
          </cell>
          <cell r="G2013">
            <v>8000</v>
          </cell>
          <cell r="H2013">
            <v>9000</v>
          </cell>
          <cell r="I2013" t="str">
            <v>bks</v>
          </cell>
          <cell r="J2013">
            <v>9000</v>
          </cell>
          <cell r="K2013" t="str">
            <v>bks</v>
          </cell>
          <cell r="L2013">
            <v>8400</v>
          </cell>
          <cell r="M2013" t="str">
            <v>bks</v>
          </cell>
          <cell r="Y2013">
            <v>8250</v>
          </cell>
          <cell r="Z2013" t="str">
            <v>bks</v>
          </cell>
          <cell r="AA2013">
            <v>165000</v>
          </cell>
          <cell r="AB2013" t="str">
            <v>dos</v>
          </cell>
        </row>
        <row r="2014">
          <cell r="A2014" t="str">
            <v>TLENCANA</v>
          </cell>
          <cell r="B2014" t="str">
            <v>Tepung. LENCANA</v>
          </cell>
          <cell r="C2014">
            <v>24.5</v>
          </cell>
          <cell r="D2014" t="str">
            <v>kg</v>
          </cell>
          <cell r="E2014">
            <v>160000</v>
          </cell>
          <cell r="G2014">
            <v>6530.6122448979595</v>
          </cell>
          <cell r="AA2014">
            <v>165000</v>
          </cell>
          <cell r="AB2014" t="str">
            <v>sak</v>
          </cell>
        </row>
        <row r="2015">
          <cell r="A2015" t="str">
            <v>TTEGU</v>
          </cell>
          <cell r="B2015" t="str">
            <v>Tpg Gandum</v>
          </cell>
          <cell r="C2015">
            <v>25</v>
          </cell>
          <cell r="D2015" t="str">
            <v>kg</v>
          </cell>
          <cell r="E2015">
            <v>155000</v>
          </cell>
          <cell r="G2015">
            <v>6200</v>
          </cell>
          <cell r="H2015">
            <v>6500</v>
          </cell>
          <cell r="I2015" t="str">
            <v>kg</v>
          </cell>
          <cell r="J2015">
            <v>6500</v>
          </cell>
          <cell r="K2015" t="str">
            <v>kg</v>
          </cell>
          <cell r="L2015">
            <v>6500</v>
          </cell>
          <cell r="M2015" t="str">
            <v>kg</v>
          </cell>
          <cell r="W2015">
            <v>6500</v>
          </cell>
          <cell r="X2015" t="str">
            <v>kg</v>
          </cell>
          <cell r="Y2015">
            <v>6500</v>
          </cell>
          <cell r="Z2015" t="str">
            <v>kg</v>
          </cell>
        </row>
        <row r="2016">
          <cell r="A2016" t="str">
            <v>PANIR</v>
          </cell>
          <cell r="B2016" t="str">
            <v>Tpg. Panir</v>
          </cell>
          <cell r="C2016">
            <v>24</v>
          </cell>
          <cell r="D2016" t="str">
            <v>pcs</v>
          </cell>
          <cell r="E2016">
            <v>180000</v>
          </cell>
          <cell r="F2016">
            <v>90000</v>
          </cell>
          <cell r="G2016">
            <v>7500</v>
          </cell>
          <cell r="H2016">
            <v>8000</v>
          </cell>
          <cell r="I2016" t="str">
            <v>bks</v>
          </cell>
          <cell r="J2016">
            <v>8000</v>
          </cell>
          <cell r="K2016" t="str">
            <v>bks</v>
          </cell>
          <cell r="L2016">
            <v>8000</v>
          </cell>
          <cell r="M2016" t="str">
            <v>bks</v>
          </cell>
        </row>
        <row r="2017">
          <cell r="A2017" t="str">
            <v>MAIZENA</v>
          </cell>
          <cell r="B2017" t="str">
            <v>Tpg. MAIZENA</v>
          </cell>
          <cell r="C2017">
            <v>6</v>
          </cell>
          <cell r="D2017" t="str">
            <v>bks</v>
          </cell>
          <cell r="E2017">
            <v>27000</v>
          </cell>
          <cell r="F2017">
            <v>54000</v>
          </cell>
          <cell r="G2017">
            <v>4500</v>
          </cell>
          <cell r="H2017">
            <v>6000</v>
          </cell>
          <cell r="I2017" t="str">
            <v>pc</v>
          </cell>
          <cell r="J2017">
            <v>5500</v>
          </cell>
          <cell r="K2017" t="str">
            <v>pc</v>
          </cell>
          <cell r="L2017">
            <v>5000</v>
          </cell>
          <cell r="M2017" t="str">
            <v>pc</v>
          </cell>
        </row>
        <row r="2018">
          <cell r="A2018" t="str">
            <v>TBIRUS</v>
          </cell>
          <cell r="B2018" t="str">
            <v>Tpg. Segitiga Biru Kemasan Baru</v>
          </cell>
          <cell r="C2018">
            <v>1</v>
          </cell>
          <cell r="D2018" t="str">
            <v>kg</v>
          </cell>
          <cell r="E2018">
            <v>10700</v>
          </cell>
          <cell r="G2018">
            <v>10700</v>
          </cell>
        </row>
        <row r="2019">
          <cell r="A2019" t="str">
            <v>TBIRUB</v>
          </cell>
          <cell r="B2019" t="str">
            <v>Tpg. Segitiga Biru Kemasan lama  1 KG</v>
          </cell>
          <cell r="C2019">
            <v>12</v>
          </cell>
          <cell r="D2019" t="str">
            <v>kg</v>
          </cell>
          <cell r="E2019">
            <v>119500</v>
          </cell>
          <cell r="G2019">
            <v>9958.3333333333339</v>
          </cell>
          <cell r="H2019">
            <v>11000</v>
          </cell>
          <cell r="I2019" t="str">
            <v>bks</v>
          </cell>
          <cell r="J2019">
            <v>11000</v>
          </cell>
          <cell r="K2019" t="str">
            <v>bks</v>
          </cell>
          <cell r="L2019">
            <v>11000</v>
          </cell>
          <cell r="M2019" t="str">
            <v>bks</v>
          </cell>
        </row>
        <row r="2020">
          <cell r="A2020" t="str">
            <v>TBIRUK</v>
          </cell>
          <cell r="B2020" t="str">
            <v>Tpg. Segitiga Biru Kemasan lama 0,5 KG</v>
          </cell>
          <cell r="C2020">
            <v>20</v>
          </cell>
          <cell r="D2020" t="str">
            <v>kg</v>
          </cell>
          <cell r="E2020">
            <v>96000</v>
          </cell>
          <cell r="F2020">
            <v>57600</v>
          </cell>
          <cell r="G2020">
            <v>4800</v>
          </cell>
          <cell r="H2020">
            <v>6000</v>
          </cell>
          <cell r="I2020" t="str">
            <v>bks</v>
          </cell>
          <cell r="J2020">
            <v>5700</v>
          </cell>
          <cell r="K2020" t="str">
            <v>bks</v>
          </cell>
          <cell r="L2020">
            <v>5300</v>
          </cell>
          <cell r="M2020" t="str">
            <v>bks</v>
          </cell>
          <cell r="T2020">
            <v>60000</v>
          </cell>
          <cell r="U2020">
            <v>12</v>
          </cell>
          <cell r="V2020" t="str">
            <v>lsn</v>
          </cell>
          <cell r="W2020">
            <v>4900</v>
          </cell>
          <cell r="X2020" t="str">
            <v>pc</v>
          </cell>
          <cell r="Y2020">
            <v>5000</v>
          </cell>
          <cell r="Z2020" t="str">
            <v>pc</v>
          </cell>
        </row>
        <row r="2021">
          <cell r="A2021" t="str">
            <v>VANILIB</v>
          </cell>
          <cell r="B2021" t="str">
            <v>Vanili Cair/Frambozen</v>
          </cell>
          <cell r="C2021">
            <v>6</v>
          </cell>
          <cell r="D2021" t="str">
            <v>pcs</v>
          </cell>
          <cell r="E2021">
            <v>22500</v>
          </cell>
          <cell r="F2021">
            <v>90000</v>
          </cell>
          <cell r="G2021">
            <v>3750</v>
          </cell>
          <cell r="H2021">
            <v>5000</v>
          </cell>
          <cell r="I2021" t="str">
            <v>bks</v>
          </cell>
          <cell r="J2021">
            <v>5000</v>
          </cell>
          <cell r="K2021" t="str">
            <v>bks</v>
          </cell>
          <cell r="L2021">
            <v>4500</v>
          </cell>
          <cell r="M2021" t="str">
            <v>bks</v>
          </cell>
          <cell r="Q2021">
            <v>25000</v>
          </cell>
          <cell r="R2021">
            <v>6</v>
          </cell>
          <cell r="S2021" t="str">
            <v>pak</v>
          </cell>
          <cell r="Y2021">
            <v>4200</v>
          </cell>
          <cell r="Z2021" t="str">
            <v>pc</v>
          </cell>
        </row>
        <row r="2022">
          <cell r="A2022" t="str">
            <v>VANILIK</v>
          </cell>
          <cell r="B2022" t="str">
            <v>Vanili Kotak</v>
          </cell>
          <cell r="C2022">
            <v>6</v>
          </cell>
          <cell r="D2022" t="str">
            <v>ljr</v>
          </cell>
          <cell r="E2022">
            <v>3583.3333333333335</v>
          </cell>
          <cell r="F2022">
            <v>43000</v>
          </cell>
          <cell r="G2022">
            <v>597.22222222222229</v>
          </cell>
          <cell r="Q2022">
            <v>4000</v>
          </cell>
          <cell r="R2022">
            <v>6</v>
          </cell>
          <cell r="S2022" t="str">
            <v>ljr</v>
          </cell>
          <cell r="AA2022">
            <v>38500</v>
          </cell>
          <cell r="AB2022" t="str">
            <v>/gros</v>
          </cell>
        </row>
        <row r="2023">
          <cell r="A2023" t="str">
            <v>VANISHR</v>
          </cell>
          <cell r="B2023" t="str">
            <v>VANISH  RENTENG</v>
          </cell>
          <cell r="C2023">
            <v>6</v>
          </cell>
          <cell r="D2023" t="str">
            <v>pcs</v>
          </cell>
          <cell r="E2023">
            <v>21997.833333333332</v>
          </cell>
          <cell r="F2023">
            <v>263974</v>
          </cell>
          <cell r="G2023">
            <v>3666.3055555555552</v>
          </cell>
          <cell r="H2023">
            <v>4500</v>
          </cell>
          <cell r="I2023" t="str">
            <v>pc</v>
          </cell>
          <cell r="J2023">
            <v>4500</v>
          </cell>
          <cell r="K2023" t="str">
            <v>pc</v>
          </cell>
          <cell r="L2023">
            <v>4000</v>
          </cell>
          <cell r="M2023" t="str">
            <v>pc</v>
          </cell>
          <cell r="N2023">
            <v>23000</v>
          </cell>
          <cell r="P2023" t="str">
            <v>rtg</v>
          </cell>
        </row>
        <row r="2024">
          <cell r="A2024" t="str">
            <v>VANISH180</v>
          </cell>
          <cell r="B2024" t="str">
            <v>VANISH  btl 180 ML</v>
          </cell>
          <cell r="C2024">
            <v>24</v>
          </cell>
          <cell r="D2024" t="str">
            <v>pcs</v>
          </cell>
          <cell r="E2024">
            <v>158563</v>
          </cell>
          <cell r="F2024">
            <v>79281.5</v>
          </cell>
          <cell r="G2024">
            <v>6606.791666666667</v>
          </cell>
          <cell r="H2024">
            <v>7500</v>
          </cell>
          <cell r="I2024" t="str">
            <v>pc</v>
          </cell>
          <cell r="J2024">
            <v>7500</v>
          </cell>
          <cell r="K2024" t="str">
            <v>pc</v>
          </cell>
          <cell r="L2024">
            <v>7100</v>
          </cell>
          <cell r="M2024" t="str">
            <v>pc</v>
          </cell>
          <cell r="T2024">
            <v>82500</v>
          </cell>
          <cell r="U2024">
            <v>12</v>
          </cell>
          <cell r="V2024" t="str">
            <v>lsn</v>
          </cell>
          <cell r="W2024">
            <v>6850</v>
          </cell>
          <cell r="X2024" t="str">
            <v>pcs</v>
          </cell>
          <cell r="Y2024">
            <v>6875</v>
          </cell>
          <cell r="Z2024" t="str">
            <v>pcs</v>
          </cell>
        </row>
        <row r="2025">
          <cell r="A2025" t="str">
            <v>VANISH500</v>
          </cell>
          <cell r="B2025" t="str">
            <v>VANISH  btl 500 ML</v>
          </cell>
          <cell r="C2025">
            <v>12</v>
          </cell>
          <cell r="D2025" t="str">
            <v>pcs</v>
          </cell>
          <cell r="E2025">
            <v>202081</v>
          </cell>
          <cell r="F2025">
            <v>202081</v>
          </cell>
          <cell r="G2025">
            <v>16840.083333333332</v>
          </cell>
          <cell r="H2025">
            <v>18500</v>
          </cell>
          <cell r="I2025" t="str">
            <v>pc</v>
          </cell>
          <cell r="J2025">
            <v>18500</v>
          </cell>
          <cell r="K2025" t="str">
            <v>pc</v>
          </cell>
          <cell r="L2025">
            <v>17300</v>
          </cell>
          <cell r="M2025" t="str">
            <v>pc</v>
          </cell>
          <cell r="T2025">
            <v>205000</v>
          </cell>
          <cell r="U2025">
            <v>12</v>
          </cell>
          <cell r="V2025" t="str">
            <v>lsn</v>
          </cell>
          <cell r="W2025">
            <v>17000</v>
          </cell>
          <cell r="X2025" t="str">
            <v>pcs</v>
          </cell>
          <cell r="Y2025">
            <v>17083.333333333332</v>
          </cell>
          <cell r="Z2025" t="str">
            <v>pcs</v>
          </cell>
        </row>
        <row r="2026">
          <cell r="A2026" t="str">
            <v>VANISH800</v>
          </cell>
          <cell r="B2026" t="str">
            <v>VANISH 800 ML REFILL</v>
          </cell>
          <cell r="C2026">
            <v>12</v>
          </cell>
          <cell r="D2026" t="str">
            <v>pcs</v>
          </cell>
          <cell r="E2026">
            <v>356144</v>
          </cell>
          <cell r="G2026">
            <v>29678.666666666668</v>
          </cell>
          <cell r="H2026">
            <v>30000</v>
          </cell>
          <cell r="I2026" t="str">
            <v>pc</v>
          </cell>
          <cell r="J2026">
            <v>30000</v>
          </cell>
          <cell r="K2026" t="str">
            <v>pc</v>
          </cell>
          <cell r="L2026">
            <v>29500</v>
          </cell>
          <cell r="M2026" t="str">
            <v>pc</v>
          </cell>
        </row>
        <row r="2027">
          <cell r="A2027" t="str">
            <v>VANISH1000</v>
          </cell>
          <cell r="B2027" t="str">
            <v>VANISH 1000 ML botol</v>
          </cell>
          <cell r="C2027">
            <v>12</v>
          </cell>
          <cell r="D2027" t="str">
            <v>pcs</v>
          </cell>
          <cell r="E2027">
            <v>473513</v>
          </cell>
          <cell r="F2027">
            <v>473513</v>
          </cell>
          <cell r="G2027">
            <v>39459.416666666664</v>
          </cell>
          <cell r="H2027">
            <v>42000</v>
          </cell>
          <cell r="I2027" t="str">
            <v>btl</v>
          </cell>
          <cell r="J2027">
            <v>42000</v>
          </cell>
          <cell r="K2027" t="str">
            <v>btl</v>
          </cell>
          <cell r="L2027">
            <v>41500</v>
          </cell>
          <cell r="M2027" t="str">
            <v>btl</v>
          </cell>
        </row>
        <row r="2028">
          <cell r="A2028" t="str">
            <v>VANISH450</v>
          </cell>
          <cell r="B2028" t="str">
            <v>VANISH Reff 450 ML</v>
          </cell>
          <cell r="C2028">
            <v>12</v>
          </cell>
          <cell r="D2028" t="str">
            <v>pcs</v>
          </cell>
          <cell r="E2028">
            <v>176036</v>
          </cell>
          <cell r="F2028">
            <v>176036</v>
          </cell>
          <cell r="G2028">
            <v>14669.666666666666</v>
          </cell>
          <cell r="H2028">
            <v>16500</v>
          </cell>
          <cell r="I2028" t="str">
            <v>pc</v>
          </cell>
          <cell r="J2028">
            <v>16000</v>
          </cell>
          <cell r="K2028" t="str">
            <v>pc</v>
          </cell>
          <cell r="L2028">
            <v>15500</v>
          </cell>
          <cell r="M2028" t="str">
            <v>pc</v>
          </cell>
        </row>
        <row r="2029">
          <cell r="A2029" t="str">
            <v>VANISH150</v>
          </cell>
          <cell r="B2029" t="str">
            <v>VANISH Reff 150 ml</v>
          </cell>
          <cell r="C2029">
            <v>24</v>
          </cell>
          <cell r="D2029" t="str">
            <v>pcs</v>
          </cell>
          <cell r="E2029">
            <v>154952</v>
          </cell>
          <cell r="F2029">
            <v>77476</v>
          </cell>
          <cell r="G2029">
            <v>6456.333333333333</v>
          </cell>
          <cell r="H2029">
            <v>8000</v>
          </cell>
          <cell r="I2029" t="str">
            <v>pc</v>
          </cell>
          <cell r="J2029">
            <v>7500</v>
          </cell>
          <cell r="K2029" t="str">
            <v>pc</v>
          </cell>
          <cell r="L2029">
            <v>7000</v>
          </cell>
          <cell r="M2029" t="str">
            <v>pc</v>
          </cell>
          <cell r="T2029">
            <v>79500</v>
          </cell>
          <cell r="U2029">
            <v>12</v>
          </cell>
          <cell r="V2029" t="str">
            <v>lsn</v>
          </cell>
          <cell r="W2029">
            <v>6700</v>
          </cell>
          <cell r="X2029" t="str">
            <v>pcs</v>
          </cell>
          <cell r="Y2029">
            <v>6800</v>
          </cell>
          <cell r="Z2029" t="str">
            <v>pcs</v>
          </cell>
        </row>
        <row r="2030">
          <cell r="A2030" t="str">
            <v>LAVENDA1</v>
          </cell>
          <cell r="B2030" t="str">
            <v>LAVENDA LOTION ANTI NYAMUK RTG</v>
          </cell>
          <cell r="C2030">
            <v>12</v>
          </cell>
          <cell r="D2030" t="str">
            <v>pcs</v>
          </cell>
          <cell r="E2030">
            <v>4500</v>
          </cell>
          <cell r="G2030">
            <v>375</v>
          </cell>
          <cell r="N2030">
            <v>6000</v>
          </cell>
          <cell r="P2030" t="str">
            <v>rtg</v>
          </cell>
          <cell r="Q2030">
            <v>11500</v>
          </cell>
          <cell r="S2030" t="str">
            <v>pak</v>
          </cell>
        </row>
        <row r="2031">
          <cell r="A2031" t="str">
            <v>VAPEJ</v>
          </cell>
          <cell r="B2031" t="str">
            <v>Vape Jumbo</v>
          </cell>
          <cell r="C2031">
            <v>60</v>
          </cell>
          <cell r="D2031" t="str">
            <v>pcs</v>
          </cell>
          <cell r="E2031">
            <v>210000</v>
          </cell>
          <cell r="F2031">
            <v>42000</v>
          </cell>
          <cell r="G2031">
            <v>3500</v>
          </cell>
          <cell r="H2031">
            <v>4000</v>
          </cell>
          <cell r="I2031" t="str">
            <v>ktk</v>
          </cell>
          <cell r="J2031">
            <v>4000</v>
          </cell>
          <cell r="K2031" t="str">
            <v>ktk</v>
          </cell>
          <cell r="L2031">
            <v>4000</v>
          </cell>
          <cell r="M2031" t="str">
            <v>ktk</v>
          </cell>
          <cell r="T2031">
            <v>38000</v>
          </cell>
          <cell r="U2031">
            <v>12</v>
          </cell>
          <cell r="V2031" t="str">
            <v>lsn</v>
          </cell>
          <cell r="W2031">
            <v>3200</v>
          </cell>
          <cell r="X2031" t="str">
            <v>ktk</v>
          </cell>
          <cell r="Y2031">
            <v>3200</v>
          </cell>
          <cell r="Z2031" t="str">
            <v>ktk</v>
          </cell>
          <cell r="AA2031">
            <v>185000</v>
          </cell>
          <cell r="AB2031" t="str">
            <v>dos</v>
          </cell>
        </row>
        <row r="2032">
          <cell r="A2032" t="str">
            <v>VAPEK</v>
          </cell>
          <cell r="B2032" t="str">
            <v>Vape Kecil</v>
          </cell>
          <cell r="C2032">
            <v>60</v>
          </cell>
          <cell r="D2032" t="str">
            <v>pcs</v>
          </cell>
          <cell r="E2032">
            <v>152000</v>
          </cell>
          <cell r="F2032">
            <v>30400</v>
          </cell>
          <cell r="G2032">
            <v>2533.3333333333335</v>
          </cell>
          <cell r="H2032">
            <v>3000</v>
          </cell>
          <cell r="I2032" t="str">
            <v>ktk</v>
          </cell>
          <cell r="J2032">
            <v>3000</v>
          </cell>
          <cell r="K2032" t="str">
            <v>ktk</v>
          </cell>
          <cell r="L2032">
            <v>2900</v>
          </cell>
          <cell r="M2032" t="str">
            <v>ktk</v>
          </cell>
          <cell r="T2032">
            <v>33000</v>
          </cell>
          <cell r="U2032">
            <v>12</v>
          </cell>
          <cell r="V2032" t="str">
            <v>lsn</v>
          </cell>
          <cell r="W2032">
            <v>2700</v>
          </cell>
          <cell r="X2032" t="str">
            <v>ktk</v>
          </cell>
          <cell r="Y2032">
            <v>2750</v>
          </cell>
          <cell r="Z2032" t="str">
            <v>ktk</v>
          </cell>
          <cell r="AB2032" t="str">
            <v>dos</v>
          </cell>
        </row>
        <row r="2033">
          <cell r="A2033" t="str">
            <v>VAPE600</v>
          </cell>
          <cell r="B2033" t="str">
            <v>Vape Semprot 600 ml btl</v>
          </cell>
          <cell r="C2033">
            <v>12</v>
          </cell>
          <cell r="D2033" t="str">
            <v>pcs</v>
          </cell>
          <cell r="E2033">
            <v>366000</v>
          </cell>
          <cell r="G2033">
            <v>30500</v>
          </cell>
          <cell r="H2033">
            <v>33000</v>
          </cell>
          <cell r="I2033" t="str">
            <v>pc</v>
          </cell>
          <cell r="J2033">
            <v>32500</v>
          </cell>
          <cell r="K2033" t="str">
            <v>pc</v>
          </cell>
          <cell r="L2033">
            <v>32000</v>
          </cell>
          <cell r="M2033" t="str">
            <v>pc</v>
          </cell>
        </row>
        <row r="2034">
          <cell r="A2034" t="str">
            <v>VEET25</v>
          </cell>
          <cell r="B2034" t="str">
            <v>VEET SEEN ALOE VERA 25 GR</v>
          </cell>
          <cell r="C2034">
            <v>144</v>
          </cell>
          <cell r="D2034" t="str">
            <v>pcs</v>
          </cell>
          <cell r="E2034">
            <v>1393737</v>
          </cell>
          <cell r="F2034">
            <v>116144.75</v>
          </cell>
          <cell r="G2034">
            <v>9678.7291666666661</v>
          </cell>
          <cell r="H2034">
            <v>11000</v>
          </cell>
          <cell r="I2034" t="str">
            <v>pcs</v>
          </cell>
          <cell r="J2034">
            <v>10500</v>
          </cell>
          <cell r="K2034" t="str">
            <v>pcs</v>
          </cell>
          <cell r="L2034">
            <v>10000</v>
          </cell>
          <cell r="M2034" t="str">
            <v>pcs</v>
          </cell>
          <cell r="T2034">
            <v>118644.75</v>
          </cell>
          <cell r="U2034">
            <v>12</v>
          </cell>
          <cell r="V2034" t="str">
            <v>lsn</v>
          </cell>
          <cell r="W2034">
            <v>9800</v>
          </cell>
          <cell r="X2034" t="str">
            <v>pcs</v>
          </cell>
          <cell r="Y2034">
            <v>9887.0625</v>
          </cell>
          <cell r="Z2034" t="str">
            <v>pcs</v>
          </cell>
          <cell r="AA2034">
            <v>1397500</v>
          </cell>
          <cell r="AB2034" t="str">
            <v>dos</v>
          </cell>
        </row>
        <row r="2035">
          <cell r="A2035" t="str">
            <v>VEGETAH</v>
          </cell>
          <cell r="B2035" t="str">
            <v>Vegeta Herbal</v>
          </cell>
          <cell r="C2035">
            <v>12</v>
          </cell>
          <cell r="D2035" t="str">
            <v>pak</v>
          </cell>
          <cell r="E2035">
            <v>26000</v>
          </cell>
          <cell r="G2035">
            <v>2166.6666666666665</v>
          </cell>
          <cell r="H2035">
            <v>2500</v>
          </cell>
          <cell r="I2035" t="str">
            <v>pc</v>
          </cell>
          <cell r="J2035">
            <v>2500</v>
          </cell>
          <cell r="K2035" t="str">
            <v>pc</v>
          </cell>
          <cell r="L2035">
            <v>2500</v>
          </cell>
          <cell r="M2035" t="str">
            <v>pc</v>
          </cell>
          <cell r="Q2035">
            <v>28000</v>
          </cell>
          <cell r="R2035">
            <v>12</v>
          </cell>
          <cell r="S2035" t="str">
            <v>pak</v>
          </cell>
          <cell r="W2035">
            <v>2300</v>
          </cell>
          <cell r="X2035" t="str">
            <v>pc</v>
          </cell>
        </row>
        <row r="2036">
          <cell r="A2036" t="str">
            <v>VEGETAJ</v>
          </cell>
          <cell r="B2036" t="str">
            <v>Vegeta JERUK</v>
          </cell>
          <cell r="C2036">
            <v>12</v>
          </cell>
          <cell r="D2036" t="str">
            <v>pak</v>
          </cell>
          <cell r="E2036">
            <v>21000</v>
          </cell>
          <cell r="G2036">
            <v>1750</v>
          </cell>
          <cell r="H2036">
            <v>2500</v>
          </cell>
          <cell r="I2036" t="str">
            <v>pc</v>
          </cell>
          <cell r="J2036">
            <v>2500</v>
          </cell>
          <cell r="K2036" t="str">
            <v>pc</v>
          </cell>
          <cell r="L2036">
            <v>2500</v>
          </cell>
          <cell r="M2036" t="str">
            <v>pc</v>
          </cell>
          <cell r="Q2036">
            <v>23500</v>
          </cell>
          <cell r="R2036">
            <v>12</v>
          </cell>
          <cell r="S2036" t="str">
            <v>pak</v>
          </cell>
          <cell r="W2036">
            <v>2000</v>
          </cell>
          <cell r="X2036" t="str">
            <v>pc</v>
          </cell>
        </row>
        <row r="2037">
          <cell r="A2037" t="str">
            <v>VEGETAJ</v>
          </cell>
          <cell r="B2037" t="str">
            <v>Vegeta Jeruk</v>
          </cell>
          <cell r="C2037">
            <v>12</v>
          </cell>
          <cell r="D2037" t="str">
            <v>pak</v>
          </cell>
          <cell r="E2037">
            <v>18550</v>
          </cell>
          <cell r="G2037">
            <v>1545.8333333333333</v>
          </cell>
          <cell r="H2037">
            <v>2000</v>
          </cell>
          <cell r="I2037" t="str">
            <v>pc</v>
          </cell>
          <cell r="J2037">
            <v>2000</v>
          </cell>
          <cell r="K2037" t="str">
            <v>pc</v>
          </cell>
          <cell r="L2037">
            <v>1700</v>
          </cell>
          <cell r="M2037" t="str">
            <v>pc</v>
          </cell>
          <cell r="Q2037">
            <v>20000</v>
          </cell>
          <cell r="R2037">
            <v>12</v>
          </cell>
          <cell r="S2037" t="str">
            <v>pak</v>
          </cell>
          <cell r="W2037">
            <v>1600</v>
          </cell>
          <cell r="X2037" t="str">
            <v>pc</v>
          </cell>
          <cell r="Y2037">
            <v>1666.6666666666667</v>
          </cell>
          <cell r="Z2037" t="str">
            <v>pc</v>
          </cell>
        </row>
        <row r="2038">
          <cell r="A2038" t="str">
            <v>VEJA400</v>
          </cell>
          <cell r="B2038" t="str">
            <v>VEJA 400 ML</v>
          </cell>
          <cell r="C2038">
            <v>24</v>
          </cell>
          <cell r="D2038" t="str">
            <v>pcs</v>
          </cell>
          <cell r="E2038">
            <v>144001</v>
          </cell>
          <cell r="F2038">
            <v>72000.5</v>
          </cell>
          <cell r="G2038">
            <v>6000.041666666667</v>
          </cell>
          <cell r="H2038">
            <v>7000</v>
          </cell>
          <cell r="I2038" t="str">
            <v>btl</v>
          </cell>
          <cell r="J2038">
            <v>6500</v>
          </cell>
          <cell r="K2038" t="str">
            <v>btl</v>
          </cell>
          <cell r="L2038">
            <v>6300</v>
          </cell>
          <cell r="M2038" t="str">
            <v>btl</v>
          </cell>
          <cell r="T2038">
            <v>74500</v>
          </cell>
          <cell r="U2038">
            <v>12</v>
          </cell>
          <cell r="V2038" t="str">
            <v>lsn</v>
          </cell>
          <cell r="W2038">
            <v>6200</v>
          </cell>
          <cell r="X2038" t="str">
            <v>btl</v>
          </cell>
          <cell r="Y2038">
            <v>6208.333333333333</v>
          </cell>
          <cell r="Z2038" t="str">
            <v>btl</v>
          </cell>
          <cell r="AA2038">
            <v>147000</v>
          </cell>
          <cell r="AB2038" t="str">
            <v>dos</v>
          </cell>
        </row>
        <row r="2039">
          <cell r="A2039" t="str">
            <v>ZWITSALB</v>
          </cell>
          <cell r="B2039" t="str">
            <v xml:space="preserve">Zwitsal Sabun batang </v>
          </cell>
          <cell r="C2039">
            <v>12</v>
          </cell>
          <cell r="D2039" t="str">
            <v>pcs</v>
          </cell>
          <cell r="E2039">
            <v>39000</v>
          </cell>
          <cell r="F2039">
            <v>468000</v>
          </cell>
          <cell r="G2039">
            <v>3250</v>
          </cell>
          <cell r="H2039">
            <v>4000</v>
          </cell>
          <cell r="I2039" t="str">
            <v>pc</v>
          </cell>
          <cell r="J2039">
            <v>4000</v>
          </cell>
          <cell r="K2039" t="str">
            <v>pc</v>
          </cell>
          <cell r="L2039">
            <v>3700</v>
          </cell>
          <cell r="M2039" t="str">
            <v>pc</v>
          </cell>
          <cell r="T2039">
            <v>43000</v>
          </cell>
          <cell r="U2039">
            <v>12</v>
          </cell>
          <cell r="V2039" t="str">
            <v>lsn</v>
          </cell>
          <cell r="W2039">
            <v>3583.3333333333335</v>
          </cell>
          <cell r="X2039" t="str">
            <v>pc</v>
          </cell>
          <cell r="Y2039">
            <v>3600</v>
          </cell>
          <cell r="Z2039" t="str">
            <v>pc</v>
          </cell>
        </row>
        <row r="2040">
          <cell r="A2040" t="str">
            <v>ZWITSALP</v>
          </cell>
          <cell r="B2040" t="str">
            <v>Zwitsal PACK KOMPLIT</v>
          </cell>
          <cell r="C2040">
            <v>12</v>
          </cell>
          <cell r="D2040" t="str">
            <v>pcs</v>
          </cell>
          <cell r="E2040">
            <v>212400</v>
          </cell>
          <cell r="G2040">
            <v>17700</v>
          </cell>
          <cell r="H2040">
            <v>20000</v>
          </cell>
          <cell r="I2040" t="str">
            <v>pc</v>
          </cell>
          <cell r="J2040">
            <v>20000</v>
          </cell>
          <cell r="K2040" t="str">
            <v>pc</v>
          </cell>
          <cell r="L2040">
            <v>19500</v>
          </cell>
          <cell r="M2040" t="str">
            <v>pc</v>
          </cell>
        </row>
        <row r="2041">
          <cell r="A2041" t="str">
            <v>ZSABUN200</v>
          </cell>
          <cell r="B2041" t="str">
            <v>Zwitsal 2 in 1 200 ml</v>
          </cell>
          <cell r="C2041">
            <v>24</v>
          </cell>
          <cell r="D2041" t="str">
            <v>pcs</v>
          </cell>
          <cell r="E2041">
            <v>427200</v>
          </cell>
          <cell r="G2041">
            <v>17800</v>
          </cell>
          <cell r="H2041">
            <v>21000</v>
          </cell>
          <cell r="I2041" t="str">
            <v>pc</v>
          </cell>
          <cell r="J2041">
            <v>21000</v>
          </cell>
          <cell r="K2041" t="str">
            <v>pc</v>
          </cell>
          <cell r="L2041">
            <v>20000</v>
          </cell>
          <cell r="M2041" t="str">
            <v>pc</v>
          </cell>
        </row>
        <row r="2042">
          <cell r="A2042" t="str">
            <v>ZSABUN100</v>
          </cell>
          <cell r="B2042" t="str">
            <v>Zwitsal 2 in 1 100 ml</v>
          </cell>
          <cell r="C2042">
            <v>24</v>
          </cell>
          <cell r="D2042" t="str">
            <v>pcs</v>
          </cell>
          <cell r="E2042">
            <v>369000</v>
          </cell>
          <cell r="G2042">
            <v>15375</v>
          </cell>
          <cell r="H2042">
            <v>18000</v>
          </cell>
          <cell r="I2042" t="str">
            <v>pc</v>
          </cell>
          <cell r="J2042">
            <v>18000</v>
          </cell>
          <cell r="K2042" t="str">
            <v>pc</v>
          </cell>
          <cell r="L2042">
            <v>17500</v>
          </cell>
          <cell r="M2042" t="str">
            <v>pc</v>
          </cell>
        </row>
        <row r="2043">
          <cell r="A2043" t="str">
            <v>ZBEDAK100</v>
          </cell>
          <cell r="B2043" t="str">
            <v>Zwitsal Bedak  100 ml</v>
          </cell>
          <cell r="C2043">
            <v>48</v>
          </cell>
          <cell r="D2043" t="str">
            <v>pcs</v>
          </cell>
          <cell r="E2043">
            <v>336000</v>
          </cell>
          <cell r="G2043">
            <v>7000</v>
          </cell>
          <cell r="H2043">
            <v>9000</v>
          </cell>
          <cell r="I2043" t="str">
            <v>pc</v>
          </cell>
          <cell r="J2043">
            <v>9000</v>
          </cell>
          <cell r="K2043" t="str">
            <v>pc</v>
          </cell>
          <cell r="L2043">
            <v>8500</v>
          </cell>
          <cell r="M2043" t="str">
            <v>pc</v>
          </cell>
        </row>
        <row r="2044">
          <cell r="A2044" t="str">
            <v>ZTELON100</v>
          </cell>
          <cell r="B2044" t="str">
            <v>Zwitsal Telon 100 ml</v>
          </cell>
          <cell r="C2044">
            <v>24</v>
          </cell>
          <cell r="D2044" t="str">
            <v>pcs</v>
          </cell>
          <cell r="E2044">
            <v>643200</v>
          </cell>
          <cell r="G2044">
            <v>26800</v>
          </cell>
          <cell r="H2044">
            <v>30000</v>
          </cell>
          <cell r="I2044" t="str">
            <v>pc</v>
          </cell>
          <cell r="J2044">
            <v>30000</v>
          </cell>
          <cell r="K2044" t="str">
            <v>pc</v>
          </cell>
          <cell r="L2044">
            <v>29500</v>
          </cell>
          <cell r="M2044" t="str">
            <v>pc</v>
          </cell>
        </row>
        <row r="2045">
          <cell r="A2045" t="str">
            <v>ZBEDAK300</v>
          </cell>
          <cell r="B2045" t="str">
            <v>Zwitsal Bedak  300 ml</v>
          </cell>
          <cell r="C2045">
            <v>12</v>
          </cell>
          <cell r="D2045" t="str">
            <v>pcs</v>
          </cell>
          <cell r="E2045">
            <v>188400</v>
          </cell>
          <cell r="G2045">
            <v>15700</v>
          </cell>
          <cell r="H2045">
            <v>19000</v>
          </cell>
          <cell r="I2045" t="str">
            <v>pc</v>
          </cell>
          <cell r="J2045">
            <v>18500</v>
          </cell>
          <cell r="K2045" t="str">
            <v>pc</v>
          </cell>
          <cell r="L2045">
            <v>18000</v>
          </cell>
          <cell r="M2045" t="str">
            <v>pc</v>
          </cell>
        </row>
        <row r="2046">
          <cell r="A2046" t="str">
            <v>ZCOLO100</v>
          </cell>
          <cell r="B2046" t="str">
            <v>Zwitsal COLONGE 100 ml</v>
          </cell>
          <cell r="C2046">
            <v>24</v>
          </cell>
          <cell r="D2046" t="str">
            <v>pcs</v>
          </cell>
          <cell r="E2046">
            <v>381600</v>
          </cell>
          <cell r="F2046">
            <v>1325</v>
          </cell>
          <cell r="G2046">
            <v>15900</v>
          </cell>
          <cell r="H2046">
            <v>19000</v>
          </cell>
          <cell r="I2046" t="str">
            <v>pc</v>
          </cell>
          <cell r="J2046">
            <v>19000</v>
          </cell>
          <cell r="K2046" t="str">
            <v>pc</v>
          </cell>
          <cell r="L2046">
            <v>18500</v>
          </cell>
          <cell r="M2046" t="str">
            <v>pc</v>
          </cell>
        </row>
        <row r="2047">
          <cell r="A2047" t="str">
            <v>VEJA500</v>
          </cell>
          <cell r="B2047" t="str">
            <v>VEJA 500 ML</v>
          </cell>
          <cell r="C2047">
            <v>12</v>
          </cell>
          <cell r="D2047" t="str">
            <v>pcs</v>
          </cell>
          <cell r="E2047">
            <v>106643</v>
          </cell>
          <cell r="F2047">
            <v>106643</v>
          </cell>
          <cell r="G2047">
            <v>8886.9166666666661</v>
          </cell>
          <cell r="H2047">
            <v>10000</v>
          </cell>
          <cell r="I2047" t="str">
            <v>btl</v>
          </cell>
          <cell r="J2047">
            <v>9500</v>
          </cell>
          <cell r="K2047" t="str">
            <v>btl</v>
          </cell>
          <cell r="L2047">
            <v>9200</v>
          </cell>
          <cell r="M2047" t="str">
            <v>btl</v>
          </cell>
          <cell r="T2047">
            <v>109000</v>
          </cell>
          <cell r="U2047">
            <v>12</v>
          </cell>
          <cell r="V2047" t="str">
            <v>lsn</v>
          </cell>
          <cell r="W2047">
            <v>9000</v>
          </cell>
          <cell r="X2047" t="str">
            <v>btl</v>
          </cell>
          <cell r="Y2047">
            <v>9083.3333333333339</v>
          </cell>
          <cell r="Z2047" t="str">
            <v>btl</v>
          </cell>
          <cell r="AA2047">
            <v>109000</v>
          </cell>
          <cell r="AB2047" t="str">
            <v>dos</v>
          </cell>
        </row>
        <row r="2048">
          <cell r="A2048" t="str">
            <v>VIXAL780</v>
          </cell>
          <cell r="B2048" t="str">
            <v>Vixal 780 ml btl</v>
          </cell>
          <cell r="C2048">
            <v>6</v>
          </cell>
          <cell r="D2048" t="str">
            <v>btl</v>
          </cell>
          <cell r="E2048">
            <v>99000</v>
          </cell>
          <cell r="G2048">
            <v>16500</v>
          </cell>
          <cell r="H2048">
            <v>0</v>
          </cell>
          <cell r="I2048" t="str">
            <v>btl</v>
          </cell>
          <cell r="J2048">
            <v>17500</v>
          </cell>
          <cell r="K2048" t="str">
            <v>btl</v>
          </cell>
          <cell r="L2048">
            <v>17000</v>
          </cell>
          <cell r="M2048" t="str">
            <v>btl</v>
          </cell>
        </row>
        <row r="2049">
          <cell r="A2049" t="str">
            <v>VIXAL500</v>
          </cell>
          <cell r="B2049" t="str">
            <v>Vixal 500 ml btl</v>
          </cell>
          <cell r="C2049">
            <v>12</v>
          </cell>
          <cell r="D2049" t="str">
            <v>btl</v>
          </cell>
          <cell r="E2049">
            <v>150000</v>
          </cell>
          <cell r="G2049">
            <v>12500</v>
          </cell>
          <cell r="H2049">
            <v>13500</v>
          </cell>
          <cell r="I2049" t="str">
            <v>btl</v>
          </cell>
          <cell r="J2049">
            <v>13000</v>
          </cell>
          <cell r="K2049" t="str">
            <v>btl</v>
          </cell>
          <cell r="L2049">
            <v>13000</v>
          </cell>
          <cell r="M2049" t="str">
            <v>btl</v>
          </cell>
        </row>
        <row r="2050">
          <cell r="A2050" t="str">
            <v>VIXAL200</v>
          </cell>
          <cell r="B2050" t="str">
            <v>Vixal 200 ml btl</v>
          </cell>
          <cell r="C2050">
            <v>24</v>
          </cell>
          <cell r="D2050" t="str">
            <v>btl</v>
          </cell>
          <cell r="E2050">
            <v>100800</v>
          </cell>
          <cell r="F2050">
            <v>50400</v>
          </cell>
          <cell r="G2050">
            <v>4200</v>
          </cell>
          <cell r="H2050">
            <v>5500</v>
          </cell>
          <cell r="I2050" t="str">
            <v>btl</v>
          </cell>
          <cell r="J2050">
            <v>5100</v>
          </cell>
          <cell r="K2050" t="str">
            <v>btl</v>
          </cell>
          <cell r="L2050">
            <v>4800</v>
          </cell>
          <cell r="M2050" t="str">
            <v>btl</v>
          </cell>
          <cell r="T2050">
            <v>52500</v>
          </cell>
          <cell r="U2050">
            <v>12</v>
          </cell>
          <cell r="V2050" t="str">
            <v>lsn</v>
          </cell>
          <cell r="W2050">
            <v>4600</v>
          </cell>
          <cell r="X2050" t="str">
            <v>btl</v>
          </cell>
          <cell r="Y2050">
            <v>4375</v>
          </cell>
          <cell r="Z2050" t="str">
            <v>btl</v>
          </cell>
          <cell r="AA2050">
            <v>104000</v>
          </cell>
          <cell r="AB2050" t="str">
            <v>dos</v>
          </cell>
        </row>
        <row r="2051">
          <cell r="A2051" t="str">
            <v>WPC600</v>
          </cell>
          <cell r="B2051" t="str">
            <v>Pembersih Toilet  WPC 600ml</v>
          </cell>
          <cell r="C2051">
            <v>6</v>
          </cell>
          <cell r="D2051" t="str">
            <v>dos</v>
          </cell>
          <cell r="E2051">
            <v>77400</v>
          </cell>
          <cell r="F2051">
            <v>154800</v>
          </cell>
          <cell r="G2051">
            <v>12900</v>
          </cell>
          <cell r="H2051">
            <v>15000</v>
          </cell>
          <cell r="I2051" t="str">
            <v>pc</v>
          </cell>
          <cell r="J2051">
            <v>14500</v>
          </cell>
          <cell r="K2051" t="str">
            <v>pc</v>
          </cell>
          <cell r="L2051">
            <v>14000</v>
          </cell>
          <cell r="M2051" t="str">
            <v>pc</v>
          </cell>
        </row>
        <row r="2052">
          <cell r="A2052" t="str">
            <v>WPC250</v>
          </cell>
          <cell r="B2052" t="str">
            <v>Pembersih Toilet  WPC 250 ml</v>
          </cell>
          <cell r="C2052">
            <v>6</v>
          </cell>
          <cell r="D2052" t="str">
            <v>dos</v>
          </cell>
          <cell r="E2052">
            <v>38220</v>
          </cell>
          <cell r="F2052">
            <v>76440</v>
          </cell>
          <cell r="G2052">
            <v>6370</v>
          </cell>
          <cell r="H2052">
            <v>7500</v>
          </cell>
          <cell r="I2052" t="str">
            <v>pc</v>
          </cell>
          <cell r="J2052">
            <v>7500</v>
          </cell>
          <cell r="K2052" t="str">
            <v>pc</v>
          </cell>
          <cell r="L2052">
            <v>7000</v>
          </cell>
          <cell r="M2052" t="str">
            <v>pc</v>
          </cell>
          <cell r="T2052">
            <v>25500</v>
          </cell>
        </row>
        <row r="2053">
          <cell r="A2053" t="str">
            <v>WINGSB</v>
          </cell>
          <cell r="B2053" t="str">
            <v>Wings Biru Bungkusan</v>
          </cell>
          <cell r="C2053">
            <v>30</v>
          </cell>
          <cell r="D2053" t="str">
            <v>dos</v>
          </cell>
          <cell r="E2053">
            <v>55800</v>
          </cell>
          <cell r="F2053">
            <v>22320</v>
          </cell>
          <cell r="G2053">
            <v>1860</v>
          </cell>
          <cell r="H2053">
            <v>2500</v>
          </cell>
          <cell r="I2053" t="str">
            <v>pc</v>
          </cell>
          <cell r="J2053">
            <v>2500</v>
          </cell>
          <cell r="K2053" t="str">
            <v>pc</v>
          </cell>
          <cell r="L2053">
            <v>2300</v>
          </cell>
          <cell r="M2053" t="str">
            <v>pc</v>
          </cell>
          <cell r="T2053">
            <v>25500</v>
          </cell>
          <cell r="U2053">
            <v>12</v>
          </cell>
          <cell r="V2053" t="str">
            <v>lsn</v>
          </cell>
          <cell r="W2053">
            <v>2100</v>
          </cell>
          <cell r="X2053" t="str">
            <v>pc</v>
          </cell>
          <cell r="Y2053">
            <v>2200</v>
          </cell>
          <cell r="Z2053" t="str">
            <v>pc</v>
          </cell>
          <cell r="AA2053">
            <v>59000</v>
          </cell>
          <cell r="AB2053" t="str">
            <v>dos</v>
          </cell>
        </row>
        <row r="2054">
          <cell r="A2054" t="str">
            <v>WINGS2850</v>
          </cell>
          <cell r="B2054" t="str">
            <v>Wings Biru Ember 2850 gr</v>
          </cell>
          <cell r="C2054">
            <v>3</v>
          </cell>
          <cell r="D2054" t="str">
            <v>pcs</v>
          </cell>
          <cell r="E2054">
            <v>91950</v>
          </cell>
          <cell r="F2054">
            <v>367800</v>
          </cell>
          <cell r="G2054">
            <v>30650</v>
          </cell>
          <cell r="H2054">
            <v>34000</v>
          </cell>
          <cell r="I2054" t="str">
            <v>pc</v>
          </cell>
          <cell r="J2054">
            <v>33500</v>
          </cell>
          <cell r="K2054" t="str">
            <v>pc</v>
          </cell>
          <cell r="L2054">
            <v>33000</v>
          </cell>
          <cell r="M2054" t="str">
            <v>pc</v>
          </cell>
        </row>
        <row r="2055">
          <cell r="A2055" t="str">
            <v>WINGS400</v>
          </cell>
          <cell r="B2055" t="str">
            <v>Wings Biru Manggkok 400 gr</v>
          </cell>
          <cell r="C2055">
            <v>6</v>
          </cell>
          <cell r="D2055" t="str">
            <v>pcs</v>
          </cell>
          <cell r="E2055">
            <v>28350</v>
          </cell>
          <cell r="F2055">
            <v>56700</v>
          </cell>
          <cell r="G2055">
            <v>4725</v>
          </cell>
          <cell r="H2055">
            <v>6000</v>
          </cell>
          <cell r="I2055" t="str">
            <v>pc</v>
          </cell>
          <cell r="J2055">
            <v>5700</v>
          </cell>
          <cell r="K2055" t="str">
            <v>pc</v>
          </cell>
          <cell r="L2055">
            <v>5500</v>
          </cell>
          <cell r="M2055" t="str">
            <v>pc</v>
          </cell>
        </row>
        <row r="2056">
          <cell r="A2056" t="str">
            <v>WINGS385</v>
          </cell>
          <cell r="B2056" t="str">
            <v>Wings Biru / Ekonomi Bulat 385 gr</v>
          </cell>
          <cell r="C2056">
            <v>24</v>
          </cell>
          <cell r="D2056" t="str">
            <v>dos</v>
          </cell>
          <cell r="E2056">
            <v>109800</v>
          </cell>
          <cell r="F2056">
            <v>54900</v>
          </cell>
          <cell r="G2056">
            <v>4575</v>
          </cell>
          <cell r="H2056">
            <v>6000</v>
          </cell>
          <cell r="I2056" t="str">
            <v>pc</v>
          </cell>
          <cell r="J2056">
            <v>5500</v>
          </cell>
          <cell r="K2056" t="str">
            <v>pc</v>
          </cell>
          <cell r="L2056">
            <v>5000</v>
          </cell>
          <cell r="M2056" t="str">
            <v>pc</v>
          </cell>
          <cell r="T2056">
            <v>58000</v>
          </cell>
          <cell r="U2056">
            <v>12</v>
          </cell>
          <cell r="V2056" t="str">
            <v>lsn</v>
          </cell>
          <cell r="W2056">
            <v>4800</v>
          </cell>
          <cell r="X2056" t="str">
            <v>pc</v>
          </cell>
          <cell r="Y2056">
            <v>4900</v>
          </cell>
          <cell r="Z2056" t="str">
            <v>pc</v>
          </cell>
        </row>
        <row r="2057">
          <cell r="A2057" t="str">
            <v>WINGS350</v>
          </cell>
          <cell r="B2057" t="str">
            <v>Wings Biru / Ekonomi Gelas 350gr</v>
          </cell>
          <cell r="C2057">
            <v>6</v>
          </cell>
          <cell r="D2057" t="str">
            <v>dos</v>
          </cell>
          <cell r="E2057">
            <v>36600</v>
          </cell>
          <cell r="F2057">
            <v>73200</v>
          </cell>
          <cell r="G2057">
            <v>6100</v>
          </cell>
          <cell r="H2057">
            <v>7500</v>
          </cell>
          <cell r="I2057" t="str">
            <v>pc</v>
          </cell>
          <cell r="J2057">
            <v>7300</v>
          </cell>
          <cell r="K2057" t="str">
            <v>pc</v>
          </cell>
          <cell r="L2057">
            <v>6900</v>
          </cell>
          <cell r="M2057" t="str">
            <v>pc</v>
          </cell>
          <cell r="T2057">
            <v>76000</v>
          </cell>
          <cell r="U2057">
            <v>12</v>
          </cell>
          <cell r="V2057" t="str">
            <v>lsn</v>
          </cell>
          <cell r="W2057">
            <v>6300</v>
          </cell>
          <cell r="X2057" t="str">
            <v>pc</v>
          </cell>
          <cell r="Y2057">
            <v>6400</v>
          </cell>
          <cell r="Z2057" t="str">
            <v>pc</v>
          </cell>
        </row>
        <row r="2058">
          <cell r="A2058" t="str">
            <v>WINGS200</v>
          </cell>
          <cell r="B2058" t="str">
            <v>Wings Biru / Ekonomi Gelas 200gr</v>
          </cell>
          <cell r="C2058">
            <v>6</v>
          </cell>
          <cell r="D2058" t="str">
            <v>dos</v>
          </cell>
          <cell r="E2058">
            <v>26850</v>
          </cell>
          <cell r="F2058">
            <v>53700</v>
          </cell>
          <cell r="G2058">
            <v>4475</v>
          </cell>
          <cell r="H2058">
            <v>5500</v>
          </cell>
          <cell r="I2058" t="str">
            <v>pc</v>
          </cell>
          <cell r="J2058">
            <v>5300</v>
          </cell>
          <cell r="K2058" t="str">
            <v>pc</v>
          </cell>
          <cell r="L2058">
            <v>4900</v>
          </cell>
          <cell r="M2058" t="str">
            <v>pc</v>
          </cell>
          <cell r="T2058">
            <v>56000</v>
          </cell>
          <cell r="U2058">
            <v>12</v>
          </cell>
          <cell r="V2058" t="str">
            <v>lsn</v>
          </cell>
          <cell r="W2058">
            <v>4600</v>
          </cell>
          <cell r="X2058" t="str">
            <v>pc</v>
          </cell>
          <cell r="Y2058">
            <v>4700</v>
          </cell>
          <cell r="Z2058" t="str">
            <v>pc</v>
          </cell>
        </row>
        <row r="2059">
          <cell r="A2059" t="str">
            <v>WIPOL450R</v>
          </cell>
          <cell r="B2059" t="str">
            <v>Wipol 450 Refill</v>
          </cell>
          <cell r="C2059">
            <v>6</v>
          </cell>
          <cell r="D2059" t="str">
            <v>pcs</v>
          </cell>
          <cell r="E2059">
            <v>51000</v>
          </cell>
          <cell r="F2059">
            <v>102000</v>
          </cell>
          <cell r="G2059">
            <v>8500</v>
          </cell>
          <cell r="H2059">
            <v>10000</v>
          </cell>
          <cell r="I2059" t="str">
            <v>pc</v>
          </cell>
          <cell r="J2059">
            <v>10000</v>
          </cell>
          <cell r="K2059" t="str">
            <v>pc</v>
          </cell>
          <cell r="L2059">
            <v>10000</v>
          </cell>
          <cell r="M2059" t="str">
            <v>pc</v>
          </cell>
        </row>
        <row r="2060">
          <cell r="A2060" t="str">
            <v>WIPOL450B</v>
          </cell>
          <cell r="B2060" t="str">
            <v>Wipol 450 BOTOL</v>
          </cell>
          <cell r="C2060">
            <v>24</v>
          </cell>
          <cell r="D2060" t="str">
            <v>pcs</v>
          </cell>
          <cell r="E2060">
            <v>295200</v>
          </cell>
          <cell r="F2060">
            <v>147600</v>
          </cell>
          <cell r="G2060">
            <v>12300</v>
          </cell>
          <cell r="H2060">
            <v>13500</v>
          </cell>
          <cell r="I2060" t="str">
            <v>pc</v>
          </cell>
          <cell r="J2060">
            <v>13000</v>
          </cell>
          <cell r="K2060" t="str">
            <v>pc</v>
          </cell>
          <cell r="L2060">
            <v>12600</v>
          </cell>
          <cell r="M2060" t="str">
            <v>pc</v>
          </cell>
          <cell r="T2060">
            <v>149500</v>
          </cell>
          <cell r="U2060">
            <v>12</v>
          </cell>
          <cell r="V2060" t="str">
            <v>lsn</v>
          </cell>
          <cell r="W2060">
            <v>12400</v>
          </cell>
          <cell r="X2060" t="str">
            <v>btl</v>
          </cell>
          <cell r="Y2060">
            <v>12458.333333333334</v>
          </cell>
          <cell r="Z2060" t="str">
            <v>btl</v>
          </cell>
        </row>
        <row r="2061">
          <cell r="A2061" t="str">
            <v>WIPOL800B</v>
          </cell>
          <cell r="B2061" t="str">
            <v>Wipol 800 ml btl</v>
          </cell>
          <cell r="C2061">
            <v>12</v>
          </cell>
          <cell r="D2061" t="str">
            <v>btl</v>
          </cell>
          <cell r="E2061">
            <v>231000</v>
          </cell>
          <cell r="G2061">
            <v>19250</v>
          </cell>
          <cell r="H2061">
            <v>21000</v>
          </cell>
          <cell r="I2061" t="str">
            <v>pc</v>
          </cell>
          <cell r="J2061">
            <v>20500</v>
          </cell>
          <cell r="K2061" t="str">
            <v>pc</v>
          </cell>
          <cell r="L2061">
            <v>20000</v>
          </cell>
          <cell r="M2061" t="str">
            <v>btl</v>
          </cell>
        </row>
        <row r="2062">
          <cell r="A2062" t="str">
            <v>WIPOL800WC</v>
          </cell>
          <cell r="B2062" t="str">
            <v>Wipol 800 Reff Pembersih WC</v>
          </cell>
          <cell r="C2062">
            <v>12</v>
          </cell>
          <cell r="D2062" t="str">
            <v>pcs</v>
          </cell>
          <cell r="E2062">
            <v>162600</v>
          </cell>
          <cell r="G2062">
            <v>13550</v>
          </cell>
          <cell r="H2062">
            <v>14500</v>
          </cell>
          <cell r="I2062" t="str">
            <v>pc</v>
          </cell>
          <cell r="J2062">
            <v>14300</v>
          </cell>
          <cell r="K2062" t="str">
            <v>pc</v>
          </cell>
          <cell r="L2062">
            <v>13900</v>
          </cell>
          <cell r="M2062" t="str">
            <v>pc</v>
          </cell>
          <cell r="T2062">
            <v>164500</v>
          </cell>
          <cell r="U2062">
            <v>12</v>
          </cell>
          <cell r="V2062" t="str">
            <v>lsn</v>
          </cell>
          <cell r="W2062">
            <v>13700</v>
          </cell>
          <cell r="X2062" t="str">
            <v>pc</v>
          </cell>
          <cell r="Y2062">
            <v>13708.333333333334</v>
          </cell>
          <cell r="Z2062" t="str">
            <v>pc</v>
          </cell>
          <cell r="AA2062">
            <v>164500</v>
          </cell>
          <cell r="AB2062" t="str">
            <v>dos</v>
          </cell>
        </row>
        <row r="2063">
          <cell r="A2063" t="str">
            <v>WIPOL800L</v>
          </cell>
          <cell r="B2063" t="str">
            <v>Wipol 800 Refil Pembersih Lantai</v>
          </cell>
          <cell r="C2063">
            <v>12</v>
          </cell>
          <cell r="D2063" t="str">
            <v>pcs</v>
          </cell>
          <cell r="E2063">
            <v>116400</v>
          </cell>
          <cell r="F2063">
            <v>116400</v>
          </cell>
          <cell r="G2063">
            <v>9700</v>
          </cell>
          <cell r="H2063">
            <v>11000</v>
          </cell>
          <cell r="I2063" t="str">
            <v>pc</v>
          </cell>
          <cell r="J2063">
            <v>11000</v>
          </cell>
          <cell r="K2063" t="str">
            <v>pc</v>
          </cell>
          <cell r="L2063">
            <v>11000</v>
          </cell>
          <cell r="M2063" t="str">
            <v>pc</v>
          </cell>
          <cell r="T2063">
            <v>119000</v>
          </cell>
          <cell r="U2063">
            <v>12</v>
          </cell>
          <cell r="V2063" t="str">
            <v>lsn</v>
          </cell>
          <cell r="W2063">
            <v>10000</v>
          </cell>
          <cell r="X2063" t="str">
            <v>lsn</v>
          </cell>
          <cell r="Y2063">
            <v>10500</v>
          </cell>
          <cell r="Z2063" t="str">
            <v>lsn</v>
          </cell>
          <cell r="AA2063">
            <v>119000</v>
          </cell>
          <cell r="AB2063" t="str">
            <v>dos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02"/>
  <sheetViews>
    <sheetView showZeros="0" topLeftCell="C1" workbookViewId="0">
      <selection activeCell="B31" sqref="B31"/>
    </sheetView>
  </sheetViews>
  <sheetFormatPr defaultRowHeight="14.4" x14ac:dyDescent="0.3"/>
  <cols>
    <col min="1" max="1" width="15.6640625" customWidth="1"/>
    <col min="2" max="2" width="17.88671875" customWidth="1"/>
    <col min="3" max="4" width="26.88671875" customWidth="1"/>
    <col min="5" max="5" width="14.5546875" style="1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43" t="s">
        <v>170</v>
      </c>
      <c r="E1" s="43" t="s">
        <v>172</v>
      </c>
    </row>
    <row r="2" spans="1:5" x14ac:dyDescent="0.3">
      <c r="A2" s="2" t="s">
        <v>59</v>
      </c>
      <c r="B2" s="2" t="s">
        <v>3</v>
      </c>
      <c r="C2" s="2" t="s">
        <v>4</v>
      </c>
      <c r="D2" s="2"/>
      <c r="E2" s="45"/>
    </row>
    <row r="3" spans="1:5" x14ac:dyDescent="0.3">
      <c r="A3" s="2" t="s">
        <v>60</v>
      </c>
      <c r="B3" s="2" t="s">
        <v>5</v>
      </c>
      <c r="C3" s="2" t="s">
        <v>6</v>
      </c>
      <c r="D3" s="2"/>
      <c r="E3" s="45"/>
    </row>
    <row r="4" spans="1:5" x14ac:dyDescent="0.3">
      <c r="A4" s="2" t="s">
        <v>61</v>
      </c>
      <c r="B4" s="2" t="s">
        <v>7</v>
      </c>
      <c r="C4" s="2" t="s">
        <v>8</v>
      </c>
      <c r="D4" s="2"/>
      <c r="E4" s="45"/>
    </row>
    <row r="5" spans="1:5" x14ac:dyDescent="0.3">
      <c r="A5" s="2" t="s">
        <v>62</v>
      </c>
      <c r="B5" s="2" t="s">
        <v>9</v>
      </c>
      <c r="C5" s="2" t="s">
        <v>10</v>
      </c>
      <c r="D5" s="2"/>
      <c r="E5" s="45"/>
    </row>
    <row r="6" spans="1:5" x14ac:dyDescent="0.3">
      <c r="A6" s="2" t="s">
        <v>12</v>
      </c>
      <c r="B6" s="2" t="s">
        <v>11</v>
      </c>
      <c r="C6" s="2" t="s">
        <v>12</v>
      </c>
      <c r="D6" s="2"/>
      <c r="E6" s="45"/>
    </row>
    <row r="7" spans="1:5" x14ac:dyDescent="0.3">
      <c r="A7" s="2" t="s">
        <v>72</v>
      </c>
      <c r="B7" s="2" t="s">
        <v>184</v>
      </c>
      <c r="C7" s="2" t="s">
        <v>32</v>
      </c>
      <c r="D7" s="2"/>
      <c r="E7" s="45"/>
    </row>
    <row r="8" spans="1:5" x14ac:dyDescent="0.3">
      <c r="A8" s="2" t="s">
        <v>81</v>
      </c>
      <c r="B8" s="2" t="s">
        <v>185</v>
      </c>
      <c r="C8" s="2" t="s">
        <v>55</v>
      </c>
      <c r="D8" s="44" t="s">
        <v>174</v>
      </c>
      <c r="E8" s="45">
        <v>4</v>
      </c>
    </row>
    <row r="9" spans="1:5" x14ac:dyDescent="0.3">
      <c r="A9" s="2" t="s">
        <v>64</v>
      </c>
      <c r="B9" s="2" t="s">
        <v>15</v>
      </c>
      <c r="C9" s="2" t="s">
        <v>58</v>
      </c>
      <c r="D9" s="2"/>
      <c r="E9" s="45"/>
    </row>
    <row r="10" spans="1:5" x14ac:dyDescent="0.3">
      <c r="A10" s="2" t="s">
        <v>66</v>
      </c>
      <c r="B10" s="2" t="s">
        <v>16</v>
      </c>
      <c r="C10" s="2" t="s">
        <v>17</v>
      </c>
      <c r="D10" s="44" t="s">
        <v>171</v>
      </c>
      <c r="E10" s="46">
        <v>6</v>
      </c>
    </row>
    <row r="11" spans="1:5" x14ac:dyDescent="0.3">
      <c r="A11" s="2" t="s">
        <v>67</v>
      </c>
      <c r="B11" s="2" t="s">
        <v>18</v>
      </c>
      <c r="C11" s="2" t="s">
        <v>19</v>
      </c>
      <c r="D11" s="44" t="s">
        <v>171</v>
      </c>
      <c r="E11" s="46">
        <v>4</v>
      </c>
    </row>
    <row r="12" spans="1:5" x14ac:dyDescent="0.3">
      <c r="A12" s="2" t="s">
        <v>68</v>
      </c>
      <c r="B12" s="2" t="s">
        <v>20</v>
      </c>
      <c r="C12" s="2" t="s">
        <v>21</v>
      </c>
      <c r="D12" s="2"/>
      <c r="E12" s="45"/>
    </row>
    <row r="13" spans="1:5" x14ac:dyDescent="0.3">
      <c r="A13" s="2" t="s">
        <v>69</v>
      </c>
      <c r="B13" s="2" t="s">
        <v>22</v>
      </c>
      <c r="C13" s="2" t="s">
        <v>23</v>
      </c>
      <c r="D13" s="44" t="s">
        <v>171</v>
      </c>
      <c r="E13" s="46">
        <v>8</v>
      </c>
    </row>
    <row r="14" spans="1:5" x14ac:dyDescent="0.3">
      <c r="A14" s="2" t="s">
        <v>70</v>
      </c>
      <c r="B14" s="2" t="s">
        <v>24</v>
      </c>
      <c r="C14" s="2" t="s">
        <v>25</v>
      </c>
      <c r="D14" s="44" t="s">
        <v>171</v>
      </c>
      <c r="E14" s="45">
        <v>6</v>
      </c>
    </row>
    <row r="15" spans="1:5" x14ac:dyDescent="0.3">
      <c r="A15" s="2" t="s">
        <v>71</v>
      </c>
      <c r="B15" s="2" t="s">
        <v>26</v>
      </c>
      <c r="C15" s="2" t="s">
        <v>27</v>
      </c>
      <c r="D15" s="44" t="s">
        <v>171</v>
      </c>
      <c r="E15" s="45">
        <v>6</v>
      </c>
    </row>
    <row r="16" spans="1:5" x14ac:dyDescent="0.3">
      <c r="A16" s="2" t="s">
        <v>29</v>
      </c>
      <c r="B16" s="2" t="s">
        <v>28</v>
      </c>
      <c r="C16" s="2" t="s">
        <v>29</v>
      </c>
      <c r="D16" s="2"/>
      <c r="E16" s="45"/>
    </row>
    <row r="17" spans="1:5" x14ac:dyDescent="0.3">
      <c r="A17" s="2" t="s">
        <v>31</v>
      </c>
      <c r="B17" s="2" t="s">
        <v>30</v>
      </c>
      <c r="C17" s="2" t="s">
        <v>31</v>
      </c>
      <c r="D17" s="2"/>
      <c r="E17" s="45"/>
    </row>
    <row r="18" spans="1:5" x14ac:dyDescent="0.3">
      <c r="A18" s="2" t="s">
        <v>65</v>
      </c>
      <c r="B18" s="2" t="s">
        <v>13</v>
      </c>
      <c r="C18" s="2" t="s">
        <v>14</v>
      </c>
      <c r="D18" s="2"/>
      <c r="E18" s="45"/>
    </row>
    <row r="19" spans="1:5" x14ac:dyDescent="0.3">
      <c r="A19" s="2" t="s">
        <v>34</v>
      </c>
      <c r="B19" s="2" t="s">
        <v>33</v>
      </c>
      <c r="C19" s="2" t="s">
        <v>34</v>
      </c>
      <c r="D19" s="2"/>
      <c r="E19" s="45"/>
    </row>
    <row r="20" spans="1:5" x14ac:dyDescent="0.3">
      <c r="A20" s="2" t="s">
        <v>73</v>
      </c>
      <c r="B20" s="2" t="s">
        <v>35</v>
      </c>
      <c r="C20" s="2" t="s">
        <v>36</v>
      </c>
      <c r="D20" s="2"/>
      <c r="E20" s="45"/>
    </row>
    <row r="21" spans="1:5" x14ac:dyDescent="0.3">
      <c r="A21" s="2" t="s">
        <v>74</v>
      </c>
      <c r="B21" s="2" t="s">
        <v>37</v>
      </c>
      <c r="C21" s="2" t="s">
        <v>38</v>
      </c>
      <c r="D21" s="2"/>
      <c r="E21" s="45"/>
    </row>
    <row r="22" spans="1:5" x14ac:dyDescent="0.3">
      <c r="A22" s="2" t="s">
        <v>75</v>
      </c>
      <c r="B22" s="2" t="s">
        <v>39</v>
      </c>
      <c r="C22" s="2" t="s">
        <v>40</v>
      </c>
      <c r="D22" s="2"/>
      <c r="E22" s="45"/>
    </row>
    <row r="23" spans="1:5" x14ac:dyDescent="0.3">
      <c r="A23" s="2" t="s">
        <v>42</v>
      </c>
      <c r="B23" s="2" t="s">
        <v>41</v>
      </c>
      <c r="C23" s="2" t="s">
        <v>42</v>
      </c>
      <c r="D23" s="2"/>
      <c r="E23" s="45"/>
    </row>
    <row r="24" spans="1:5" x14ac:dyDescent="0.3">
      <c r="A24" s="2" t="s">
        <v>76</v>
      </c>
      <c r="B24" s="2" t="s">
        <v>43</v>
      </c>
      <c r="C24" s="2" t="s">
        <v>44</v>
      </c>
      <c r="D24" s="2"/>
      <c r="E24" s="45"/>
    </row>
    <row r="25" spans="1:5" x14ac:dyDescent="0.3">
      <c r="A25" s="2" t="s">
        <v>77</v>
      </c>
      <c r="B25" s="2" t="s">
        <v>45</v>
      </c>
      <c r="C25" s="2" t="s">
        <v>46</v>
      </c>
      <c r="D25" s="2"/>
      <c r="E25" s="45"/>
    </row>
    <row r="26" spans="1:5" x14ac:dyDescent="0.3">
      <c r="A26" s="2" t="s">
        <v>78</v>
      </c>
      <c r="B26" s="2" t="s">
        <v>47</v>
      </c>
      <c r="C26" s="2" t="s">
        <v>48</v>
      </c>
      <c r="D26" s="2"/>
      <c r="E26" s="45"/>
    </row>
    <row r="27" spans="1:5" x14ac:dyDescent="0.3">
      <c r="A27" s="2" t="s">
        <v>79</v>
      </c>
      <c r="B27" s="2" t="s">
        <v>49</v>
      </c>
      <c r="C27" s="2" t="s">
        <v>50</v>
      </c>
      <c r="D27" s="2"/>
      <c r="E27" s="45"/>
    </row>
    <row r="28" spans="1:5" x14ac:dyDescent="0.3">
      <c r="A28" s="2" t="s">
        <v>80</v>
      </c>
      <c r="B28" s="2" t="s">
        <v>51</v>
      </c>
      <c r="C28" s="2" t="s">
        <v>52</v>
      </c>
      <c r="D28" s="2"/>
      <c r="E28" s="45"/>
    </row>
    <row r="29" spans="1:5" x14ac:dyDescent="0.3">
      <c r="A29" s="2" t="s">
        <v>82</v>
      </c>
      <c r="B29" s="2" t="s">
        <v>53</v>
      </c>
      <c r="C29" s="2" t="s">
        <v>56</v>
      </c>
      <c r="D29" s="2"/>
      <c r="E29" s="45"/>
    </row>
    <row r="30" spans="1:5" x14ac:dyDescent="0.3">
      <c r="A30" s="2" t="s">
        <v>83</v>
      </c>
      <c r="B30" s="2" t="s">
        <v>54</v>
      </c>
      <c r="C30" s="2" t="s">
        <v>57</v>
      </c>
      <c r="D30" s="2"/>
      <c r="E30" s="45"/>
    </row>
    <row r="31" spans="1:5" x14ac:dyDescent="0.3">
      <c r="A31" s="2"/>
      <c r="B31" s="2"/>
      <c r="C31" s="2"/>
      <c r="D31" s="2"/>
      <c r="E31" s="45"/>
    </row>
    <row r="32" spans="1:5" x14ac:dyDescent="0.3">
      <c r="A32" s="2"/>
      <c r="B32" s="2"/>
      <c r="C32" s="2"/>
      <c r="D32" s="2"/>
      <c r="E32" s="45"/>
    </row>
    <row r="33" spans="1:5" x14ac:dyDescent="0.3">
      <c r="A33" s="2"/>
      <c r="B33" s="2"/>
      <c r="C33" s="2"/>
      <c r="D33" s="2"/>
      <c r="E33" s="45"/>
    </row>
    <row r="34" spans="1:5" x14ac:dyDescent="0.3">
      <c r="A34" s="2"/>
      <c r="B34" s="2"/>
      <c r="C34" s="2"/>
      <c r="D34" s="2"/>
      <c r="E34" s="45"/>
    </row>
    <row r="35" spans="1:5" x14ac:dyDescent="0.3">
      <c r="A35" s="2"/>
      <c r="B35" s="2"/>
      <c r="C35" s="2"/>
      <c r="D35" s="2"/>
      <c r="E35" s="45"/>
    </row>
    <row r="36" spans="1:5" x14ac:dyDescent="0.3">
      <c r="A36" s="2"/>
      <c r="B36" s="2"/>
      <c r="C36" s="2"/>
      <c r="D36" s="2"/>
      <c r="E36" s="45"/>
    </row>
    <row r="37" spans="1:5" x14ac:dyDescent="0.3">
      <c r="A37" s="2"/>
      <c r="B37" s="2"/>
      <c r="C37" s="2"/>
      <c r="D37" s="2"/>
      <c r="E37" s="45"/>
    </row>
    <row r="38" spans="1:5" x14ac:dyDescent="0.3">
      <c r="A38" s="2"/>
      <c r="B38" s="2"/>
      <c r="C38" s="2"/>
      <c r="D38" s="2"/>
      <c r="E38" s="45"/>
    </row>
    <row r="39" spans="1:5" x14ac:dyDescent="0.3">
      <c r="A39" s="2"/>
      <c r="B39" s="2"/>
      <c r="C39" s="2"/>
      <c r="D39" s="2"/>
      <c r="E39" s="45"/>
    </row>
    <row r="40" spans="1:5" x14ac:dyDescent="0.3">
      <c r="A40" s="2"/>
      <c r="B40" s="2"/>
      <c r="C40" s="2"/>
      <c r="D40" s="2"/>
      <c r="E40" s="45"/>
    </row>
    <row r="41" spans="1:5" x14ac:dyDescent="0.3">
      <c r="A41" s="2"/>
      <c r="B41" s="2"/>
      <c r="C41" s="2"/>
      <c r="D41" s="2"/>
      <c r="E41" s="45"/>
    </row>
    <row r="42" spans="1:5" x14ac:dyDescent="0.3">
      <c r="A42" s="2"/>
      <c r="B42" s="2"/>
      <c r="C42" s="2"/>
      <c r="D42" s="2"/>
      <c r="E42" s="45"/>
    </row>
    <row r="43" spans="1:5" x14ac:dyDescent="0.3">
      <c r="A43" s="2"/>
      <c r="B43" s="2"/>
      <c r="C43" s="2"/>
      <c r="D43" s="2"/>
      <c r="E43" s="45"/>
    </row>
    <row r="44" spans="1:5" x14ac:dyDescent="0.3">
      <c r="A44" s="2"/>
      <c r="B44" s="2"/>
      <c r="C44" s="2"/>
      <c r="D44" s="2"/>
      <c r="E44" s="45"/>
    </row>
    <row r="45" spans="1:5" x14ac:dyDescent="0.3">
      <c r="A45" s="2"/>
      <c r="B45" s="2"/>
      <c r="C45" s="2"/>
      <c r="D45" s="2"/>
      <c r="E45" s="45"/>
    </row>
    <row r="46" spans="1:5" x14ac:dyDescent="0.3">
      <c r="A46" s="2"/>
      <c r="B46" s="2"/>
      <c r="C46" s="2"/>
      <c r="D46" s="2"/>
      <c r="E46" s="45"/>
    </row>
    <row r="47" spans="1:5" x14ac:dyDescent="0.3">
      <c r="A47" s="2"/>
      <c r="B47" s="2"/>
      <c r="C47" s="2"/>
      <c r="D47" s="2"/>
      <c r="E47" s="45"/>
    </row>
    <row r="48" spans="1:5" x14ac:dyDescent="0.3">
      <c r="A48" s="2"/>
      <c r="B48" s="2"/>
      <c r="C48" s="2"/>
      <c r="D48" s="2"/>
      <c r="E48" s="45"/>
    </row>
    <row r="49" spans="1:5" x14ac:dyDescent="0.3">
      <c r="A49" s="2"/>
      <c r="B49" s="2"/>
      <c r="C49" s="2"/>
      <c r="D49" s="2"/>
      <c r="E49" s="45"/>
    </row>
    <row r="50" spans="1:5" x14ac:dyDescent="0.3">
      <c r="A50" s="2"/>
      <c r="B50" s="2"/>
      <c r="C50" s="2"/>
      <c r="D50" s="2"/>
      <c r="E50" s="45"/>
    </row>
    <row r="51" spans="1:5" x14ac:dyDescent="0.3">
      <c r="A51" s="2"/>
      <c r="B51" s="2"/>
      <c r="C51" s="2"/>
      <c r="D51" s="2"/>
      <c r="E51" s="45"/>
    </row>
    <row r="52" spans="1:5" x14ac:dyDescent="0.3">
      <c r="A52" s="2"/>
      <c r="B52" s="2"/>
      <c r="C52" s="2"/>
      <c r="D52" s="2"/>
      <c r="E52" s="45"/>
    </row>
    <row r="53" spans="1:5" x14ac:dyDescent="0.3">
      <c r="A53" s="2"/>
      <c r="B53" s="2"/>
      <c r="C53" s="2"/>
      <c r="D53" s="2"/>
      <c r="E53" s="45"/>
    </row>
    <row r="54" spans="1:5" x14ac:dyDescent="0.3">
      <c r="A54" s="2"/>
      <c r="B54" s="2"/>
      <c r="C54" s="2"/>
      <c r="D54" s="2"/>
      <c r="E54" s="45"/>
    </row>
    <row r="55" spans="1:5" x14ac:dyDescent="0.3">
      <c r="A55" s="2"/>
      <c r="B55" s="2"/>
      <c r="C55" s="2"/>
      <c r="D55" s="2"/>
      <c r="E55" s="45"/>
    </row>
    <row r="56" spans="1:5" x14ac:dyDescent="0.3">
      <c r="A56" s="2"/>
      <c r="B56" s="2"/>
      <c r="C56" s="2"/>
      <c r="D56" s="2"/>
      <c r="E56" s="45"/>
    </row>
    <row r="57" spans="1:5" x14ac:dyDescent="0.3">
      <c r="A57" s="2"/>
      <c r="B57" s="2"/>
      <c r="C57" s="2"/>
      <c r="D57" s="2"/>
      <c r="E57" s="45"/>
    </row>
    <row r="58" spans="1:5" x14ac:dyDescent="0.3">
      <c r="A58" s="2"/>
      <c r="B58" s="2"/>
      <c r="C58" s="2"/>
      <c r="D58" s="2"/>
      <c r="E58" s="45"/>
    </row>
    <row r="59" spans="1:5" x14ac:dyDescent="0.3">
      <c r="A59" s="2"/>
      <c r="B59" s="2"/>
      <c r="C59" s="2"/>
      <c r="D59" s="2"/>
      <c r="E59" s="45"/>
    </row>
    <row r="60" spans="1:5" x14ac:dyDescent="0.3">
      <c r="A60" s="2"/>
      <c r="B60" s="2"/>
      <c r="C60" s="2"/>
      <c r="D60" s="2"/>
      <c r="E60" s="45"/>
    </row>
    <row r="61" spans="1:5" x14ac:dyDescent="0.3">
      <c r="A61" s="2"/>
      <c r="B61" s="2"/>
      <c r="C61" s="2"/>
      <c r="D61" s="2"/>
      <c r="E61" s="45"/>
    </row>
    <row r="62" spans="1:5" x14ac:dyDescent="0.3">
      <c r="A62" s="2"/>
      <c r="B62" s="2"/>
      <c r="C62" s="2"/>
      <c r="D62" s="2"/>
      <c r="E62" s="45"/>
    </row>
    <row r="63" spans="1:5" x14ac:dyDescent="0.3">
      <c r="A63" s="2"/>
      <c r="B63" s="2"/>
      <c r="C63" s="2"/>
      <c r="D63" s="2"/>
      <c r="E63" s="45"/>
    </row>
    <row r="64" spans="1:5" x14ac:dyDescent="0.3">
      <c r="A64" s="2"/>
      <c r="B64" s="2"/>
      <c r="C64" s="2"/>
      <c r="D64" s="2"/>
      <c r="E64" s="45"/>
    </row>
    <row r="65" spans="1:5" x14ac:dyDescent="0.3">
      <c r="A65" s="2"/>
      <c r="B65" s="2"/>
      <c r="C65" s="2"/>
      <c r="D65" s="2"/>
      <c r="E65" s="45"/>
    </row>
    <row r="66" spans="1:5" x14ac:dyDescent="0.3">
      <c r="A66" s="2"/>
      <c r="B66" s="2"/>
      <c r="C66" s="2"/>
      <c r="D66" s="2"/>
      <c r="E66" s="45"/>
    </row>
    <row r="67" spans="1:5" x14ac:dyDescent="0.3">
      <c r="A67" s="2"/>
      <c r="B67" s="2"/>
      <c r="C67" s="2"/>
      <c r="D67" s="2"/>
      <c r="E67" s="45"/>
    </row>
    <row r="68" spans="1:5" x14ac:dyDescent="0.3">
      <c r="A68" s="2"/>
      <c r="B68" s="2"/>
      <c r="C68" s="2"/>
      <c r="D68" s="2"/>
      <c r="E68" s="45"/>
    </row>
    <row r="69" spans="1:5" x14ac:dyDescent="0.3">
      <c r="A69" s="2"/>
      <c r="B69" s="2"/>
      <c r="C69" s="2"/>
      <c r="D69" s="2"/>
      <c r="E69" s="45"/>
    </row>
    <row r="70" spans="1:5" x14ac:dyDescent="0.3">
      <c r="A70" s="2"/>
      <c r="B70" s="2"/>
      <c r="C70" s="2"/>
      <c r="D70" s="2"/>
      <c r="E70" s="45"/>
    </row>
    <row r="71" spans="1:5" x14ac:dyDescent="0.3">
      <c r="A71" s="2"/>
      <c r="B71" s="2"/>
      <c r="C71" s="2"/>
      <c r="D71" s="2"/>
      <c r="E71" s="45"/>
    </row>
    <row r="72" spans="1:5" x14ac:dyDescent="0.3">
      <c r="A72" s="2"/>
      <c r="B72" s="2"/>
      <c r="C72" s="2"/>
      <c r="D72" s="2"/>
      <c r="E72" s="45"/>
    </row>
    <row r="73" spans="1:5" x14ac:dyDescent="0.3">
      <c r="A73" s="2"/>
      <c r="B73" s="2"/>
      <c r="C73" s="2"/>
      <c r="D73" s="2"/>
      <c r="E73" s="45"/>
    </row>
    <row r="74" spans="1:5" x14ac:dyDescent="0.3">
      <c r="A74" s="2"/>
      <c r="B74" s="2"/>
      <c r="C74" s="2"/>
      <c r="D74" s="2"/>
      <c r="E74" s="45"/>
    </row>
    <row r="75" spans="1:5" x14ac:dyDescent="0.3">
      <c r="A75" s="2"/>
      <c r="B75" s="2"/>
      <c r="C75" s="2"/>
      <c r="D75" s="2"/>
      <c r="E75" s="45"/>
    </row>
    <row r="76" spans="1:5" x14ac:dyDescent="0.3">
      <c r="A76" s="2"/>
      <c r="B76" s="2"/>
      <c r="C76" s="2"/>
      <c r="D76" s="2"/>
      <c r="E76" s="45"/>
    </row>
    <row r="77" spans="1:5" x14ac:dyDescent="0.3">
      <c r="A77" s="2"/>
      <c r="B77" s="2"/>
      <c r="C77" s="2"/>
      <c r="D77" s="2"/>
      <c r="E77" s="45"/>
    </row>
    <row r="78" spans="1:5" x14ac:dyDescent="0.3">
      <c r="A78" s="2"/>
      <c r="B78" s="2"/>
      <c r="C78" s="2"/>
      <c r="D78" s="2"/>
      <c r="E78" s="45"/>
    </row>
    <row r="79" spans="1:5" x14ac:dyDescent="0.3">
      <c r="A79" s="2"/>
      <c r="B79" s="2"/>
      <c r="C79" s="2"/>
      <c r="D79" s="2"/>
      <c r="E79" s="45"/>
    </row>
    <row r="80" spans="1:5" x14ac:dyDescent="0.3">
      <c r="A80" s="2"/>
      <c r="B80" s="2"/>
      <c r="C80" s="2"/>
      <c r="D80" s="2"/>
      <c r="E80" s="45"/>
    </row>
    <row r="81" spans="1:5" x14ac:dyDescent="0.3">
      <c r="A81" s="2"/>
      <c r="B81" s="2"/>
      <c r="C81" s="2"/>
      <c r="D81" s="2"/>
      <c r="E81" s="45"/>
    </row>
    <row r="82" spans="1:5" x14ac:dyDescent="0.3">
      <c r="A82" s="2"/>
      <c r="B82" s="2"/>
      <c r="C82" s="2"/>
      <c r="D82" s="2"/>
      <c r="E82" s="45"/>
    </row>
    <row r="83" spans="1:5" x14ac:dyDescent="0.3">
      <c r="A83" s="2"/>
      <c r="B83" s="2"/>
      <c r="C83" s="2"/>
      <c r="D83" s="2"/>
      <c r="E83" s="45"/>
    </row>
    <row r="84" spans="1:5" x14ac:dyDescent="0.3">
      <c r="A84" s="2"/>
      <c r="B84" s="2"/>
      <c r="C84" s="2"/>
      <c r="D84" s="2"/>
      <c r="E84" s="45"/>
    </row>
    <row r="85" spans="1:5" x14ac:dyDescent="0.3">
      <c r="A85" s="2"/>
      <c r="B85" s="2"/>
      <c r="C85" s="2"/>
      <c r="D85" s="2"/>
      <c r="E85" s="45"/>
    </row>
    <row r="86" spans="1:5" x14ac:dyDescent="0.3">
      <c r="A86" s="2"/>
      <c r="B86" s="2"/>
      <c r="C86" s="2"/>
      <c r="D86" s="2"/>
      <c r="E86" s="45"/>
    </row>
    <row r="87" spans="1:5" x14ac:dyDescent="0.3">
      <c r="A87" s="2"/>
      <c r="B87" s="2"/>
      <c r="C87" s="2"/>
      <c r="D87" s="2"/>
      <c r="E87" s="45"/>
    </row>
    <row r="88" spans="1:5" x14ac:dyDescent="0.3">
      <c r="A88" s="2"/>
      <c r="B88" s="2"/>
      <c r="C88" s="2"/>
      <c r="D88" s="2"/>
      <c r="E88" s="45"/>
    </row>
    <row r="89" spans="1:5" x14ac:dyDescent="0.3">
      <c r="A89" s="2"/>
      <c r="B89" s="2"/>
      <c r="C89" s="2"/>
      <c r="D89" s="2"/>
      <c r="E89" s="45"/>
    </row>
    <row r="90" spans="1:5" x14ac:dyDescent="0.3">
      <c r="A90" s="2"/>
      <c r="B90" s="2"/>
      <c r="C90" s="2"/>
      <c r="D90" s="2"/>
      <c r="E90" s="45"/>
    </row>
    <row r="91" spans="1:5" x14ac:dyDescent="0.3">
      <c r="A91" s="2"/>
      <c r="B91" s="2"/>
      <c r="C91" s="2"/>
      <c r="D91" s="2"/>
      <c r="E91" s="45"/>
    </row>
    <row r="92" spans="1:5" x14ac:dyDescent="0.3">
      <c r="A92" s="2"/>
      <c r="B92" s="2"/>
      <c r="C92" s="2"/>
      <c r="D92" s="2"/>
      <c r="E92" s="45"/>
    </row>
    <row r="93" spans="1:5" x14ac:dyDescent="0.3">
      <c r="A93" s="2"/>
      <c r="B93" s="2"/>
      <c r="C93" s="2"/>
      <c r="D93" s="2"/>
      <c r="E93" s="45"/>
    </row>
    <row r="94" spans="1:5" x14ac:dyDescent="0.3">
      <c r="A94" s="2"/>
      <c r="B94" s="2"/>
      <c r="C94" s="2"/>
      <c r="D94" s="2"/>
      <c r="E94" s="45"/>
    </row>
    <row r="95" spans="1:5" x14ac:dyDescent="0.3">
      <c r="A95" s="2"/>
      <c r="B95" s="2"/>
      <c r="C95" s="2"/>
      <c r="D95" s="2"/>
      <c r="E95" s="45"/>
    </row>
    <row r="96" spans="1:5" x14ac:dyDescent="0.3">
      <c r="A96" s="2"/>
      <c r="B96" s="2"/>
      <c r="C96" s="2"/>
      <c r="D96" s="2"/>
      <c r="E96" s="45"/>
    </row>
    <row r="97" spans="1:5" x14ac:dyDescent="0.3">
      <c r="A97" s="2"/>
      <c r="B97" s="2"/>
      <c r="C97" s="2"/>
      <c r="D97" s="2"/>
      <c r="E97" s="45"/>
    </row>
    <row r="98" spans="1:5" x14ac:dyDescent="0.3">
      <c r="A98" s="2"/>
      <c r="B98" s="2"/>
      <c r="C98" s="2"/>
      <c r="D98" s="2"/>
      <c r="E98" s="45"/>
    </row>
    <row r="99" spans="1:5" x14ac:dyDescent="0.3">
      <c r="A99" s="2"/>
      <c r="B99" s="2"/>
      <c r="C99" s="2"/>
      <c r="D99" s="2"/>
      <c r="E99" s="45"/>
    </row>
    <row r="100" spans="1:5" x14ac:dyDescent="0.3">
      <c r="A100" s="2"/>
      <c r="B100" s="2"/>
      <c r="C100" s="2"/>
      <c r="D100" s="2"/>
      <c r="E100" s="45"/>
    </row>
    <row r="101" spans="1:5" x14ac:dyDescent="0.3">
      <c r="A101" s="2"/>
      <c r="B101" s="2"/>
      <c r="C101" s="2"/>
      <c r="D101" s="2"/>
      <c r="E101" s="45"/>
    </row>
    <row r="102" spans="1:5" x14ac:dyDescent="0.3">
      <c r="A102" s="2"/>
      <c r="B102" s="2"/>
      <c r="C102" s="2"/>
      <c r="D102" s="2"/>
      <c r="E102" s="45"/>
    </row>
  </sheetData>
  <sortState xmlns:xlrd2="http://schemas.microsoft.com/office/spreadsheetml/2017/richdata2" ref="A2:E104">
    <sortCondition ref="B2:B10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27"/>
  <sheetViews>
    <sheetView workbookViewId="0">
      <selection activeCell="D3" sqref="D3"/>
    </sheetView>
  </sheetViews>
  <sheetFormatPr defaultRowHeight="14.4" x14ac:dyDescent="0.3"/>
  <cols>
    <col min="2" max="2" width="38.109375" customWidth="1"/>
    <col min="3" max="4" width="25.44140625" customWidth="1"/>
  </cols>
  <sheetData>
    <row r="1" spans="1:4" ht="15" thickBot="1" x14ac:dyDescent="0.35">
      <c r="A1" s="48" t="s">
        <v>84</v>
      </c>
      <c r="B1" s="48" t="s">
        <v>85</v>
      </c>
      <c r="C1" s="49" t="s">
        <v>182</v>
      </c>
      <c r="D1" s="49" t="s">
        <v>183</v>
      </c>
    </row>
    <row r="2" spans="1:4" ht="15" thickBot="1" x14ac:dyDescent="0.35">
      <c r="A2" s="48"/>
      <c r="B2" s="48"/>
      <c r="C2" s="50"/>
      <c r="D2" s="50"/>
    </row>
    <row r="3" spans="1:4" x14ac:dyDescent="0.3">
      <c r="A3" s="9" t="s">
        <v>87</v>
      </c>
      <c r="B3" s="10" t="s">
        <v>88</v>
      </c>
      <c r="C3" s="11">
        <v>7000</v>
      </c>
      <c r="D3" s="11"/>
    </row>
    <row r="4" spans="1:4" x14ac:dyDescent="0.3">
      <c r="A4" s="3" t="s">
        <v>89</v>
      </c>
      <c r="B4" s="4" t="s">
        <v>90</v>
      </c>
      <c r="C4" s="5">
        <v>1500</v>
      </c>
      <c r="D4" s="5"/>
    </row>
    <row r="5" spans="1:4" x14ac:dyDescent="0.3">
      <c r="A5" s="3" t="s">
        <v>91</v>
      </c>
      <c r="B5" s="4" t="s">
        <v>92</v>
      </c>
      <c r="C5" s="5">
        <v>700</v>
      </c>
      <c r="D5" s="5"/>
    </row>
    <row r="6" spans="1:4" x14ac:dyDescent="0.3">
      <c r="A6" s="3" t="s">
        <v>93</v>
      </c>
      <c r="B6" s="4" t="s">
        <v>94</v>
      </c>
      <c r="C6" s="5">
        <v>500</v>
      </c>
      <c r="D6" s="5"/>
    </row>
    <row r="7" spans="1:4" x14ac:dyDescent="0.3">
      <c r="A7" s="3" t="s">
        <v>95</v>
      </c>
      <c r="B7" s="4" t="s">
        <v>96</v>
      </c>
      <c r="C7" s="5">
        <v>2000</v>
      </c>
      <c r="D7" s="5"/>
    </row>
    <row r="8" spans="1:4" x14ac:dyDescent="0.3">
      <c r="A8" s="3" t="s">
        <v>97</v>
      </c>
      <c r="B8" s="4" t="s">
        <v>98</v>
      </c>
      <c r="C8" s="5">
        <v>1000</v>
      </c>
      <c r="D8" s="5"/>
    </row>
    <row r="9" spans="1:4" x14ac:dyDescent="0.3">
      <c r="A9" s="19" t="s">
        <v>144</v>
      </c>
      <c r="B9" s="18" t="s">
        <v>143</v>
      </c>
      <c r="C9" s="5">
        <v>800</v>
      </c>
      <c r="D9" s="5"/>
    </row>
    <row r="10" spans="1:4" x14ac:dyDescent="0.3">
      <c r="A10" s="3" t="s">
        <v>99</v>
      </c>
      <c r="B10" s="4" t="s">
        <v>100</v>
      </c>
      <c r="C10" s="5">
        <v>100</v>
      </c>
      <c r="D10" s="5"/>
    </row>
    <row r="11" spans="1:4" x14ac:dyDescent="0.3">
      <c r="A11" s="19" t="s">
        <v>163</v>
      </c>
      <c r="B11" s="18" t="s">
        <v>162</v>
      </c>
      <c r="C11" s="5">
        <v>1000</v>
      </c>
      <c r="D11" s="5"/>
    </row>
    <row r="12" spans="1:4" x14ac:dyDescent="0.3">
      <c r="A12" s="19" t="s">
        <v>165</v>
      </c>
      <c r="B12" s="18" t="s">
        <v>164</v>
      </c>
      <c r="C12" s="5">
        <v>1000</v>
      </c>
      <c r="D12" s="5"/>
    </row>
    <row r="13" spans="1:4" x14ac:dyDescent="0.3">
      <c r="A13" s="19" t="s">
        <v>151</v>
      </c>
      <c r="B13" s="18" t="s">
        <v>152</v>
      </c>
      <c r="C13" s="5">
        <v>2500</v>
      </c>
      <c r="D13" s="5"/>
    </row>
    <row r="14" spans="1:4" x14ac:dyDescent="0.3">
      <c r="A14" s="3" t="s">
        <v>101</v>
      </c>
      <c r="B14" s="4" t="s">
        <v>102</v>
      </c>
      <c r="C14" s="5">
        <v>500</v>
      </c>
      <c r="D14" s="5"/>
    </row>
    <row r="15" spans="1:4" x14ac:dyDescent="0.3">
      <c r="A15" s="19" t="s">
        <v>156</v>
      </c>
      <c r="B15" s="18" t="s">
        <v>155</v>
      </c>
      <c r="C15" s="5">
        <v>7000</v>
      </c>
      <c r="D15" s="5"/>
    </row>
    <row r="16" spans="1:4" x14ac:dyDescent="0.3">
      <c r="A16" s="19" t="s">
        <v>158</v>
      </c>
      <c r="B16" s="18" t="s">
        <v>157</v>
      </c>
      <c r="C16" s="5">
        <v>250</v>
      </c>
      <c r="D16" s="5"/>
    </row>
    <row r="17" spans="1:4" x14ac:dyDescent="0.3">
      <c r="A17" s="3" t="s">
        <v>103</v>
      </c>
      <c r="B17" s="4" t="s">
        <v>104</v>
      </c>
      <c r="C17" s="5">
        <v>1500</v>
      </c>
      <c r="D17" s="5"/>
    </row>
    <row r="18" spans="1:4" x14ac:dyDescent="0.3">
      <c r="A18" s="19" t="s">
        <v>146</v>
      </c>
      <c r="B18" s="18" t="s">
        <v>145</v>
      </c>
      <c r="C18" s="5">
        <v>500</v>
      </c>
      <c r="D18" s="5"/>
    </row>
    <row r="19" spans="1:4" x14ac:dyDescent="0.3">
      <c r="A19" s="19" t="s">
        <v>150</v>
      </c>
      <c r="B19" s="18" t="s">
        <v>149</v>
      </c>
      <c r="C19" s="5">
        <v>300</v>
      </c>
      <c r="D19" s="5"/>
    </row>
    <row r="20" spans="1:4" x14ac:dyDescent="0.3">
      <c r="A20" s="19" t="s">
        <v>148</v>
      </c>
      <c r="B20" s="18" t="s">
        <v>147</v>
      </c>
      <c r="C20" s="5">
        <v>1000</v>
      </c>
      <c r="D20" s="5"/>
    </row>
    <row r="21" spans="1:4" x14ac:dyDescent="0.3">
      <c r="A21" s="19" t="s">
        <v>154</v>
      </c>
      <c r="B21" s="18" t="s">
        <v>153</v>
      </c>
      <c r="C21" s="5">
        <v>1000</v>
      </c>
      <c r="D21" s="5"/>
    </row>
    <row r="22" spans="1:4" x14ac:dyDescent="0.3">
      <c r="A22" s="3" t="s">
        <v>105</v>
      </c>
      <c r="B22" s="4" t="s">
        <v>106</v>
      </c>
      <c r="C22" s="5">
        <v>2500</v>
      </c>
      <c r="D22" s="5"/>
    </row>
    <row r="23" spans="1:4" x14ac:dyDescent="0.3">
      <c r="A23" s="3" t="s">
        <v>107</v>
      </c>
      <c r="B23" s="4" t="s">
        <v>108</v>
      </c>
      <c r="C23" s="5">
        <v>100</v>
      </c>
      <c r="D23" s="5"/>
    </row>
    <row r="24" spans="1:4" x14ac:dyDescent="0.3">
      <c r="A24" s="3" t="s">
        <v>109</v>
      </c>
      <c r="B24" s="4" t="s">
        <v>110</v>
      </c>
      <c r="C24" s="5">
        <v>30000</v>
      </c>
      <c r="D24" s="5"/>
    </row>
    <row r="25" spans="1:4" x14ac:dyDescent="0.3">
      <c r="A25" s="22" t="s">
        <v>160</v>
      </c>
      <c r="B25" s="21" t="s">
        <v>159</v>
      </c>
      <c r="C25" s="20">
        <v>700</v>
      </c>
      <c r="D25" s="20"/>
    </row>
    <row r="26" spans="1:4" x14ac:dyDescent="0.3">
      <c r="A26" s="22" t="s">
        <v>161</v>
      </c>
      <c r="B26" s="21" t="s">
        <v>161</v>
      </c>
      <c r="C26" s="20">
        <v>1500</v>
      </c>
      <c r="D26" s="20"/>
    </row>
    <row r="27" spans="1:4" ht="15" thickBot="1" x14ac:dyDescent="0.35">
      <c r="A27" s="6" t="s">
        <v>109</v>
      </c>
      <c r="B27" s="7" t="s">
        <v>111</v>
      </c>
      <c r="C27" s="8">
        <v>1000</v>
      </c>
      <c r="D27" s="8"/>
    </row>
  </sheetData>
  <mergeCells count="4">
    <mergeCell ref="A1:A2"/>
    <mergeCell ref="B1:B2"/>
    <mergeCell ref="C1:C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94"/>
  <sheetViews>
    <sheetView showZeros="0" tabSelected="1" topLeftCell="G1" workbookViewId="0">
      <pane ySplit="1" topLeftCell="A2" activePane="bottomLeft" state="frozen"/>
      <selection pane="bottomLeft" activeCell="F2" sqref="F2"/>
    </sheetView>
  </sheetViews>
  <sheetFormatPr defaultColWidth="9.109375" defaultRowHeight="14.4" x14ac:dyDescent="0.3"/>
  <cols>
    <col min="1" max="1" width="10.109375" style="13" customWidth="1"/>
    <col min="2" max="2" width="9.109375" style="13"/>
    <col min="3" max="4" width="11" style="13" customWidth="1"/>
    <col min="5" max="5" width="14.5546875" style="13" customWidth="1"/>
    <col min="6" max="6" width="25.5546875" style="13" customWidth="1"/>
    <col min="7" max="7" width="36" style="13" customWidth="1"/>
    <col min="8" max="8" width="13.109375" style="13" customWidth="1"/>
    <col min="9" max="10" width="14.6640625" style="13" customWidth="1"/>
    <col min="11" max="16384" width="9.109375" style="13"/>
  </cols>
  <sheetData>
    <row r="1" spans="1:10" ht="29.4" thickBot="1" x14ac:dyDescent="0.35">
      <c r="A1" s="41" t="s">
        <v>0</v>
      </c>
      <c r="B1" s="41" t="s">
        <v>112</v>
      </c>
      <c r="C1" s="42" t="s">
        <v>181</v>
      </c>
      <c r="D1" s="42" t="s">
        <v>176</v>
      </c>
      <c r="E1" s="41" t="s">
        <v>113</v>
      </c>
      <c r="F1" s="41" t="s">
        <v>114</v>
      </c>
      <c r="G1" s="41" t="s">
        <v>115</v>
      </c>
      <c r="H1" s="41" t="s">
        <v>116</v>
      </c>
      <c r="I1" s="41" t="s">
        <v>86</v>
      </c>
      <c r="J1" s="41" t="s">
        <v>117</v>
      </c>
    </row>
    <row r="2" spans="1:10" ht="15.6" x14ac:dyDescent="0.3">
      <c r="A2" s="34" t="s">
        <v>81</v>
      </c>
      <c r="B2" s="35" t="s">
        <v>148</v>
      </c>
      <c r="C2" s="36" t="s">
        <v>142</v>
      </c>
      <c r="D2" s="36"/>
      <c r="E2" s="35" t="str">
        <f t="shared" ref="E2:E33" si="0">VLOOKUP(A2,Datanasabah,2,FALSE)</f>
        <v>26.02.21.007</v>
      </c>
      <c r="F2" s="37"/>
      <c r="G2" s="37" t="str">
        <f t="shared" ref="G2:G33" si="1">VLOOKUP(B2,Datakategori,2,FALSE)</f>
        <v>Kertas Putih</v>
      </c>
      <c r="H2" s="38">
        <v>2469</v>
      </c>
      <c r="I2" s="39">
        <f t="shared" ref="I2:I33" si="2">IF(AND($C2="a"),VLOOKUP($B2,Datakategori,3,0),IF($C2="b",VLOOKUP($B2,Datakategori,4,0),IF($C2="c",VLOOKUP($B2,Datakategori,5,0),IF($C2="d",VLOOKUP($B2,Datakategori,6,0),0))))</f>
        <v>1000</v>
      </c>
      <c r="J2" s="40">
        <f>I2*H2</f>
        <v>2469000</v>
      </c>
    </row>
    <row r="3" spans="1:10" ht="15.6" x14ac:dyDescent="0.3">
      <c r="A3" s="26" t="s">
        <v>118</v>
      </c>
      <c r="B3" s="14" t="s">
        <v>154</v>
      </c>
      <c r="C3" s="17" t="s">
        <v>142</v>
      </c>
      <c r="D3" s="17"/>
      <c r="E3" s="14" t="str">
        <f t="shared" si="0"/>
        <v>26.02.21.005</v>
      </c>
      <c r="F3" s="16" t="str">
        <f t="shared" ref="F2:F33" si="3">VLOOKUP(A3,Datanasabah,3,FALSE)</f>
        <v>KSR</v>
      </c>
      <c r="G3" s="16" t="str">
        <f t="shared" si="1"/>
        <v>Kertas KORAN</v>
      </c>
      <c r="H3" s="23">
        <v>1276</v>
      </c>
      <c r="I3" s="24">
        <f t="shared" si="2"/>
        <v>1000</v>
      </c>
      <c r="J3" s="27">
        <f t="shared" ref="J3:J66" si="4">I3*H3</f>
        <v>1276000</v>
      </c>
    </row>
    <row r="4" spans="1:10" ht="15.6" x14ac:dyDescent="0.3">
      <c r="A4" s="26" t="s">
        <v>119</v>
      </c>
      <c r="B4" s="14" t="s">
        <v>148</v>
      </c>
      <c r="C4" s="17" t="s">
        <v>142</v>
      </c>
      <c r="D4" s="17"/>
      <c r="E4" s="14" t="str">
        <f t="shared" si="0"/>
        <v>26.02.21.005</v>
      </c>
      <c r="F4" s="16" t="str">
        <f t="shared" si="3"/>
        <v>KSR</v>
      </c>
      <c r="G4" s="16" t="str">
        <f t="shared" si="1"/>
        <v>Kertas Putih</v>
      </c>
      <c r="H4" s="23">
        <v>35</v>
      </c>
      <c r="I4" s="24">
        <f t="shared" si="2"/>
        <v>1000</v>
      </c>
      <c r="J4" s="27">
        <f t="shared" si="4"/>
        <v>35000</v>
      </c>
    </row>
    <row r="5" spans="1:10" ht="15.6" x14ac:dyDescent="0.3">
      <c r="A5" s="26" t="s">
        <v>120</v>
      </c>
      <c r="B5" s="14" t="s">
        <v>97</v>
      </c>
      <c r="C5" s="17" t="s">
        <v>142</v>
      </c>
      <c r="D5" s="17"/>
      <c r="E5" s="14" t="str">
        <f t="shared" si="0"/>
        <v>26.02.21.013</v>
      </c>
      <c r="F5" s="16" t="str">
        <f t="shared" si="3"/>
        <v>Indo masriani</v>
      </c>
      <c r="G5" s="16" t="str">
        <f t="shared" si="1"/>
        <v>BOTOL PLASTIK BIRU BERSIH</v>
      </c>
      <c r="H5" s="23">
        <v>10</v>
      </c>
      <c r="I5" s="24">
        <f t="shared" si="2"/>
        <v>1000</v>
      </c>
      <c r="J5" s="27">
        <f t="shared" si="4"/>
        <v>10000</v>
      </c>
    </row>
    <row r="6" spans="1:10" ht="15.6" x14ac:dyDescent="0.3">
      <c r="A6" s="26" t="s">
        <v>121</v>
      </c>
      <c r="B6" s="14" t="s">
        <v>93</v>
      </c>
      <c r="C6" s="17" t="s">
        <v>142</v>
      </c>
      <c r="D6" s="17"/>
      <c r="E6" s="14" t="str">
        <f t="shared" si="0"/>
        <v>26.02.21.002</v>
      </c>
      <c r="F6" s="16" t="str">
        <f t="shared" si="3"/>
        <v>muhammad amir mahmud</v>
      </c>
      <c r="G6" s="16" t="str">
        <f t="shared" si="1"/>
        <v>BOTOL CAMPUR</v>
      </c>
      <c r="H6" s="23">
        <v>134</v>
      </c>
      <c r="I6" s="24">
        <f t="shared" si="2"/>
        <v>500</v>
      </c>
      <c r="J6" s="27">
        <f t="shared" si="4"/>
        <v>67000</v>
      </c>
    </row>
    <row r="7" spans="1:10" ht="15.6" x14ac:dyDescent="0.3">
      <c r="A7" s="26" t="s">
        <v>122</v>
      </c>
      <c r="B7" s="14" t="s">
        <v>148</v>
      </c>
      <c r="C7" s="17" t="s">
        <v>142</v>
      </c>
      <c r="D7" s="17"/>
      <c r="E7" s="14" t="str">
        <f t="shared" si="0"/>
        <v>26.02.21.003</v>
      </c>
      <c r="F7" s="16" t="str">
        <f t="shared" si="3"/>
        <v>Maudy Wahyuni</v>
      </c>
      <c r="G7" s="16" t="str">
        <f t="shared" si="1"/>
        <v>Kertas Putih</v>
      </c>
      <c r="H7" s="23">
        <v>232</v>
      </c>
      <c r="I7" s="24">
        <f t="shared" si="2"/>
        <v>1000</v>
      </c>
      <c r="J7" s="27">
        <f t="shared" si="4"/>
        <v>232000</v>
      </c>
    </row>
    <row r="8" spans="1:10" ht="15.6" x14ac:dyDescent="0.3">
      <c r="A8" s="26" t="s">
        <v>123</v>
      </c>
      <c r="B8" s="14" t="s">
        <v>93</v>
      </c>
      <c r="C8" s="17" t="s">
        <v>142</v>
      </c>
      <c r="D8" s="17"/>
      <c r="E8" s="14" t="str">
        <f t="shared" si="0"/>
        <v>26.02.21.006</v>
      </c>
      <c r="F8" s="16" t="str">
        <f t="shared" si="3"/>
        <v>Samsul marif</v>
      </c>
      <c r="G8" s="16" t="str">
        <f t="shared" si="1"/>
        <v>BOTOL CAMPUR</v>
      </c>
      <c r="H8" s="23">
        <v>8</v>
      </c>
      <c r="I8" s="24">
        <f t="shared" si="2"/>
        <v>500</v>
      </c>
      <c r="J8" s="27">
        <f t="shared" si="4"/>
        <v>4000</v>
      </c>
    </row>
    <row r="9" spans="1:10" ht="15.6" x14ac:dyDescent="0.3">
      <c r="A9" s="26" t="s">
        <v>124</v>
      </c>
      <c r="B9" s="14" t="s">
        <v>148</v>
      </c>
      <c r="C9" s="17" t="s">
        <v>142</v>
      </c>
      <c r="D9" s="17"/>
      <c r="E9" s="14" t="str">
        <f t="shared" si="0"/>
        <v>26.02.21.008</v>
      </c>
      <c r="F9" s="16" t="str">
        <f t="shared" si="3"/>
        <v>Nur azizah azzahra</v>
      </c>
      <c r="G9" s="16" t="str">
        <f t="shared" si="1"/>
        <v>Kertas Putih</v>
      </c>
      <c r="H9" s="23">
        <v>105</v>
      </c>
      <c r="I9" s="24">
        <f t="shared" si="2"/>
        <v>1000</v>
      </c>
      <c r="J9" s="27">
        <f t="shared" si="4"/>
        <v>105000</v>
      </c>
    </row>
    <row r="10" spans="1:10" ht="15.6" x14ac:dyDescent="0.3">
      <c r="A10" s="26" t="s">
        <v>125</v>
      </c>
      <c r="B10" s="14" t="s">
        <v>93</v>
      </c>
      <c r="C10" s="17" t="s">
        <v>142</v>
      </c>
      <c r="D10" s="17"/>
      <c r="E10" s="14" t="str">
        <f t="shared" si="0"/>
        <v>26.02.21.009</v>
      </c>
      <c r="F10" s="16" t="str">
        <f t="shared" si="3"/>
        <v>Annisa fauziah</v>
      </c>
      <c r="G10" s="16" t="str">
        <f t="shared" si="1"/>
        <v>BOTOL CAMPUR</v>
      </c>
      <c r="H10" s="23">
        <v>38</v>
      </c>
      <c r="I10" s="24">
        <f t="shared" si="2"/>
        <v>500</v>
      </c>
      <c r="J10" s="27">
        <f t="shared" si="4"/>
        <v>19000</v>
      </c>
    </row>
    <row r="11" spans="1:10" ht="15.6" x14ac:dyDescent="0.3">
      <c r="A11" s="26" t="s">
        <v>126</v>
      </c>
      <c r="B11" s="14" t="s">
        <v>93</v>
      </c>
      <c r="C11" s="17" t="s">
        <v>142</v>
      </c>
      <c r="D11" s="17"/>
      <c r="E11" s="14" t="str">
        <f t="shared" si="0"/>
        <v>26.02.21.015</v>
      </c>
      <c r="F11" s="16" t="str">
        <f t="shared" si="3"/>
        <v>Muhlis</v>
      </c>
      <c r="G11" s="16" t="str">
        <f t="shared" si="1"/>
        <v>BOTOL CAMPUR</v>
      </c>
      <c r="H11" s="23">
        <v>1.5</v>
      </c>
      <c r="I11" s="24">
        <f t="shared" si="2"/>
        <v>500</v>
      </c>
      <c r="J11" s="27">
        <f t="shared" si="4"/>
        <v>750</v>
      </c>
    </row>
    <row r="12" spans="1:10" ht="15.6" x14ac:dyDescent="0.3">
      <c r="A12" s="26" t="s">
        <v>127</v>
      </c>
      <c r="B12" s="14" t="s">
        <v>99</v>
      </c>
      <c r="C12" s="17" t="s">
        <v>142</v>
      </c>
      <c r="D12" s="17"/>
      <c r="E12" s="14" t="str">
        <f t="shared" si="0"/>
        <v>26.02.21.018</v>
      </c>
      <c r="F12" s="16" t="str">
        <f t="shared" si="3"/>
        <v>Rahmah</v>
      </c>
      <c r="G12" s="16" t="str">
        <f t="shared" si="1"/>
        <v>BOTOL KACA</v>
      </c>
      <c r="H12" s="23">
        <v>2</v>
      </c>
      <c r="I12" s="24">
        <f t="shared" si="2"/>
        <v>100</v>
      </c>
      <c r="J12" s="27">
        <f t="shared" si="4"/>
        <v>200</v>
      </c>
    </row>
    <row r="13" spans="1:10" ht="15.6" x14ac:dyDescent="0.3">
      <c r="A13" s="28" t="s">
        <v>122</v>
      </c>
      <c r="B13" s="14" t="s">
        <v>93</v>
      </c>
      <c r="C13" s="17" t="s">
        <v>142</v>
      </c>
      <c r="D13" s="17"/>
      <c r="E13" s="14" t="str">
        <f t="shared" si="0"/>
        <v>26.02.21.003</v>
      </c>
      <c r="F13" s="16" t="str">
        <f t="shared" si="3"/>
        <v>Maudy Wahyuni</v>
      </c>
      <c r="G13" s="16" t="str">
        <f t="shared" si="1"/>
        <v>BOTOL CAMPUR</v>
      </c>
      <c r="H13" s="23">
        <v>38</v>
      </c>
      <c r="I13" s="24">
        <f t="shared" si="2"/>
        <v>500</v>
      </c>
      <c r="J13" s="27">
        <f t="shared" si="4"/>
        <v>19000</v>
      </c>
    </row>
    <row r="14" spans="1:10" ht="15.6" x14ac:dyDescent="0.3">
      <c r="A14" s="26" t="s">
        <v>123</v>
      </c>
      <c r="B14" s="14" t="s">
        <v>93</v>
      </c>
      <c r="C14" s="17" t="s">
        <v>142</v>
      </c>
      <c r="D14" s="17"/>
      <c r="E14" s="14" t="str">
        <f t="shared" si="0"/>
        <v>26.02.21.006</v>
      </c>
      <c r="F14" s="16" t="str">
        <f t="shared" si="3"/>
        <v>Samsul marif</v>
      </c>
      <c r="G14" s="16" t="str">
        <f t="shared" si="1"/>
        <v>BOTOL CAMPUR</v>
      </c>
      <c r="H14" s="23">
        <v>8</v>
      </c>
      <c r="I14" s="24">
        <f t="shared" si="2"/>
        <v>500</v>
      </c>
      <c r="J14" s="27">
        <f t="shared" si="4"/>
        <v>4000</v>
      </c>
    </row>
    <row r="15" spans="1:10" ht="15.6" x14ac:dyDescent="0.3">
      <c r="A15" s="26" t="s">
        <v>123</v>
      </c>
      <c r="B15" s="14" t="s">
        <v>93</v>
      </c>
      <c r="C15" s="17" t="s">
        <v>142</v>
      </c>
      <c r="D15" s="17"/>
      <c r="E15" s="14" t="str">
        <f t="shared" si="0"/>
        <v>26.02.21.006</v>
      </c>
      <c r="F15" s="16" t="str">
        <f t="shared" si="3"/>
        <v>Samsul marif</v>
      </c>
      <c r="G15" s="16" t="str">
        <f t="shared" si="1"/>
        <v>BOTOL CAMPUR</v>
      </c>
      <c r="H15" s="23">
        <v>16</v>
      </c>
      <c r="I15" s="24">
        <f t="shared" si="2"/>
        <v>500</v>
      </c>
      <c r="J15" s="27">
        <f t="shared" si="4"/>
        <v>8000</v>
      </c>
    </row>
    <row r="16" spans="1:10" ht="15.6" x14ac:dyDescent="0.3">
      <c r="A16" s="26" t="s">
        <v>120</v>
      </c>
      <c r="B16" s="14" t="s">
        <v>107</v>
      </c>
      <c r="C16" s="17" t="s">
        <v>142</v>
      </c>
      <c r="D16" s="17"/>
      <c r="E16" s="14" t="str">
        <f t="shared" si="0"/>
        <v>26.02.21.013</v>
      </c>
      <c r="F16" s="16" t="str">
        <f t="shared" si="3"/>
        <v>Indo masriani</v>
      </c>
      <c r="G16" s="16" t="str">
        <f t="shared" si="1"/>
        <v>PIRING TELUR / RAK TELUR</v>
      </c>
      <c r="H16" s="23">
        <v>11</v>
      </c>
      <c r="I16" s="24">
        <f t="shared" si="2"/>
        <v>100</v>
      </c>
      <c r="J16" s="27">
        <f t="shared" si="4"/>
        <v>1100</v>
      </c>
    </row>
    <row r="17" spans="1:10" ht="15.6" x14ac:dyDescent="0.3">
      <c r="A17" s="26" t="s">
        <v>124</v>
      </c>
      <c r="B17" s="14" t="s">
        <v>91</v>
      </c>
      <c r="C17" s="17" t="s">
        <v>142</v>
      </c>
      <c r="D17" s="17"/>
      <c r="E17" s="14" t="str">
        <f t="shared" si="0"/>
        <v>26.02.21.008</v>
      </c>
      <c r="F17" s="16" t="str">
        <f t="shared" si="3"/>
        <v>Nur azizah azzahra</v>
      </c>
      <c r="G17" s="16" t="str">
        <f t="shared" si="1"/>
        <v>BLOWING</v>
      </c>
      <c r="H17" s="23">
        <v>35</v>
      </c>
      <c r="I17" s="24">
        <f t="shared" si="2"/>
        <v>700</v>
      </c>
      <c r="J17" s="27">
        <f t="shared" si="4"/>
        <v>24500</v>
      </c>
    </row>
    <row r="18" spans="1:10" ht="15.6" x14ac:dyDescent="0.3">
      <c r="A18" s="26" t="s">
        <v>125</v>
      </c>
      <c r="B18" s="14" t="s">
        <v>93</v>
      </c>
      <c r="C18" s="17" t="s">
        <v>142</v>
      </c>
      <c r="D18" s="17"/>
      <c r="E18" s="14" t="str">
        <f t="shared" si="0"/>
        <v>26.02.21.009</v>
      </c>
      <c r="F18" s="16" t="str">
        <f t="shared" si="3"/>
        <v>Annisa fauziah</v>
      </c>
      <c r="G18" s="16" t="str">
        <f t="shared" si="1"/>
        <v>BOTOL CAMPUR</v>
      </c>
      <c r="H18" s="23">
        <v>5</v>
      </c>
      <c r="I18" s="24">
        <f t="shared" si="2"/>
        <v>500</v>
      </c>
      <c r="J18" s="27">
        <f t="shared" si="4"/>
        <v>2500</v>
      </c>
    </row>
    <row r="19" spans="1:10" ht="15.6" x14ac:dyDescent="0.3">
      <c r="A19" s="26" t="s">
        <v>126</v>
      </c>
      <c r="B19" s="14" t="s">
        <v>95</v>
      </c>
      <c r="C19" s="17" t="s">
        <v>142</v>
      </c>
      <c r="D19" s="17"/>
      <c r="E19" s="14" t="str">
        <f t="shared" si="0"/>
        <v>26.02.21.015</v>
      </c>
      <c r="F19" s="16" t="str">
        <f t="shared" si="3"/>
        <v>Muhlis</v>
      </c>
      <c r="G19" s="16" t="str">
        <f t="shared" si="1"/>
        <v>BOTOL PLASTIK BENING BERSIH</v>
      </c>
      <c r="H19" s="23">
        <v>1.2</v>
      </c>
      <c r="I19" s="24">
        <f t="shared" si="2"/>
        <v>2000</v>
      </c>
      <c r="J19" s="27">
        <f t="shared" si="4"/>
        <v>2400</v>
      </c>
    </row>
    <row r="20" spans="1:10" ht="15.6" x14ac:dyDescent="0.3">
      <c r="A20" s="26" t="s">
        <v>128</v>
      </c>
      <c r="B20" s="14" t="s">
        <v>93</v>
      </c>
      <c r="C20" s="17" t="s">
        <v>142</v>
      </c>
      <c r="D20" s="17"/>
      <c r="E20" s="14" t="str">
        <f t="shared" si="0"/>
        <v>26.02.21.016</v>
      </c>
      <c r="F20" s="16" t="str">
        <f t="shared" si="3"/>
        <v>Usamah</v>
      </c>
      <c r="G20" s="16" t="str">
        <f t="shared" si="1"/>
        <v>BOTOL CAMPUR</v>
      </c>
      <c r="H20" s="23">
        <v>1.2</v>
      </c>
      <c r="I20" s="24">
        <f t="shared" si="2"/>
        <v>500</v>
      </c>
      <c r="J20" s="27">
        <f t="shared" si="4"/>
        <v>600</v>
      </c>
    </row>
    <row r="21" spans="1:10" ht="15.6" x14ac:dyDescent="0.3">
      <c r="A21" s="26" t="s">
        <v>123</v>
      </c>
      <c r="B21" s="14" t="s">
        <v>93</v>
      </c>
      <c r="C21" s="17" t="s">
        <v>142</v>
      </c>
      <c r="D21" s="17"/>
      <c r="E21" s="14" t="str">
        <f t="shared" si="0"/>
        <v>26.02.21.006</v>
      </c>
      <c r="F21" s="16" t="str">
        <f t="shared" si="3"/>
        <v>Samsul marif</v>
      </c>
      <c r="G21" s="16" t="str">
        <f t="shared" si="1"/>
        <v>BOTOL CAMPUR</v>
      </c>
      <c r="H21" s="23">
        <v>4</v>
      </c>
      <c r="I21" s="24">
        <f t="shared" si="2"/>
        <v>500</v>
      </c>
      <c r="J21" s="27">
        <f t="shared" si="4"/>
        <v>2000</v>
      </c>
    </row>
    <row r="22" spans="1:10" ht="15.6" x14ac:dyDescent="0.3">
      <c r="A22" s="26" t="s">
        <v>127</v>
      </c>
      <c r="B22" s="14" t="s">
        <v>165</v>
      </c>
      <c r="C22" s="17" t="s">
        <v>142</v>
      </c>
      <c r="D22" s="17"/>
      <c r="E22" s="14" t="str">
        <f t="shared" si="0"/>
        <v>26.02.21.018</v>
      </c>
      <c r="F22" s="16" t="str">
        <f t="shared" si="3"/>
        <v>Rahmah</v>
      </c>
      <c r="G22" s="16" t="str">
        <f t="shared" si="1"/>
        <v>Gelas Kotor</v>
      </c>
      <c r="H22" s="23">
        <v>7</v>
      </c>
      <c r="I22" s="24">
        <f t="shared" si="2"/>
        <v>1000</v>
      </c>
      <c r="J22" s="27">
        <f t="shared" si="4"/>
        <v>7000</v>
      </c>
    </row>
    <row r="23" spans="1:10" ht="15.6" x14ac:dyDescent="0.3">
      <c r="A23" s="26" t="s">
        <v>120</v>
      </c>
      <c r="B23" s="14" t="s">
        <v>93</v>
      </c>
      <c r="C23" s="17" t="s">
        <v>142</v>
      </c>
      <c r="D23" s="17"/>
      <c r="E23" s="14" t="str">
        <f t="shared" si="0"/>
        <v>26.02.21.013</v>
      </c>
      <c r="F23" s="16" t="str">
        <f t="shared" si="3"/>
        <v>Indo masriani</v>
      </c>
      <c r="G23" s="16" t="str">
        <f t="shared" si="1"/>
        <v>BOTOL CAMPUR</v>
      </c>
      <c r="H23" s="23">
        <v>1</v>
      </c>
      <c r="I23" s="24">
        <f t="shared" si="2"/>
        <v>500</v>
      </c>
      <c r="J23" s="27">
        <f t="shared" si="4"/>
        <v>500</v>
      </c>
    </row>
    <row r="24" spans="1:10" ht="15.6" x14ac:dyDescent="0.3">
      <c r="A24" s="26" t="s">
        <v>124</v>
      </c>
      <c r="B24" s="14" t="s">
        <v>148</v>
      </c>
      <c r="C24" s="17" t="s">
        <v>142</v>
      </c>
      <c r="D24" s="17"/>
      <c r="E24" s="14" t="str">
        <f t="shared" si="0"/>
        <v>26.02.21.008</v>
      </c>
      <c r="F24" s="16" t="str">
        <f t="shared" si="3"/>
        <v>Nur azizah azzahra</v>
      </c>
      <c r="G24" s="16" t="str">
        <f t="shared" si="1"/>
        <v>Kertas Putih</v>
      </c>
      <c r="H24" s="23">
        <v>158</v>
      </c>
      <c r="I24" s="24">
        <f t="shared" si="2"/>
        <v>1000</v>
      </c>
      <c r="J24" s="27">
        <f t="shared" si="4"/>
        <v>158000</v>
      </c>
    </row>
    <row r="25" spans="1:10" ht="15.6" x14ac:dyDescent="0.3">
      <c r="A25" s="26" t="s">
        <v>124</v>
      </c>
      <c r="B25" s="14" t="s">
        <v>99</v>
      </c>
      <c r="C25" s="17" t="s">
        <v>142</v>
      </c>
      <c r="D25" s="17"/>
      <c r="E25" s="14" t="str">
        <f t="shared" si="0"/>
        <v>26.02.21.008</v>
      </c>
      <c r="F25" s="16" t="str">
        <f t="shared" si="3"/>
        <v>Nur azizah azzahra</v>
      </c>
      <c r="G25" s="16" t="str">
        <f t="shared" si="1"/>
        <v>BOTOL KACA</v>
      </c>
      <c r="H25" s="23">
        <v>5</v>
      </c>
      <c r="I25" s="24">
        <f t="shared" si="2"/>
        <v>100</v>
      </c>
      <c r="J25" s="27">
        <f t="shared" si="4"/>
        <v>500</v>
      </c>
    </row>
    <row r="26" spans="1:10" ht="15.6" x14ac:dyDescent="0.3">
      <c r="A26" s="26" t="s">
        <v>124</v>
      </c>
      <c r="B26" s="14" t="s">
        <v>95</v>
      </c>
      <c r="C26" s="17" t="s">
        <v>142</v>
      </c>
      <c r="D26" s="17"/>
      <c r="E26" s="14" t="str">
        <f t="shared" si="0"/>
        <v>26.02.21.008</v>
      </c>
      <c r="F26" s="16" t="str">
        <f t="shared" si="3"/>
        <v>Nur azizah azzahra</v>
      </c>
      <c r="G26" s="16" t="str">
        <f t="shared" si="1"/>
        <v>BOTOL PLASTIK BENING BERSIH</v>
      </c>
      <c r="H26" s="23">
        <v>0.5</v>
      </c>
      <c r="I26" s="24">
        <f t="shared" si="2"/>
        <v>2000</v>
      </c>
      <c r="J26" s="27">
        <f t="shared" si="4"/>
        <v>1000</v>
      </c>
    </row>
    <row r="27" spans="1:10" ht="15.6" x14ac:dyDescent="0.3">
      <c r="A27" s="26" t="s">
        <v>124</v>
      </c>
      <c r="B27" s="14" t="s">
        <v>91</v>
      </c>
      <c r="C27" s="17" t="s">
        <v>142</v>
      </c>
      <c r="D27" s="17"/>
      <c r="E27" s="14" t="str">
        <f t="shared" si="0"/>
        <v>26.02.21.008</v>
      </c>
      <c r="F27" s="16" t="str">
        <f t="shared" si="3"/>
        <v>Nur azizah azzahra</v>
      </c>
      <c r="G27" s="16" t="str">
        <f t="shared" si="1"/>
        <v>BLOWING</v>
      </c>
      <c r="H27" s="23">
        <v>42</v>
      </c>
      <c r="I27" s="24">
        <f t="shared" si="2"/>
        <v>700</v>
      </c>
      <c r="J27" s="27">
        <f t="shared" si="4"/>
        <v>29400</v>
      </c>
    </row>
    <row r="28" spans="1:10" ht="15.6" x14ac:dyDescent="0.3">
      <c r="A28" s="26" t="s">
        <v>124</v>
      </c>
      <c r="B28" s="14" t="s">
        <v>95</v>
      </c>
      <c r="C28" s="17" t="s">
        <v>142</v>
      </c>
      <c r="D28" s="17"/>
      <c r="E28" s="14" t="str">
        <f t="shared" si="0"/>
        <v>26.02.21.008</v>
      </c>
      <c r="F28" s="16" t="str">
        <f t="shared" si="3"/>
        <v>Nur azizah azzahra</v>
      </c>
      <c r="G28" s="16" t="str">
        <f t="shared" si="1"/>
        <v>BOTOL PLASTIK BENING BERSIH</v>
      </c>
      <c r="H28" s="23">
        <v>9</v>
      </c>
      <c r="I28" s="24">
        <f t="shared" si="2"/>
        <v>2000</v>
      </c>
      <c r="J28" s="27">
        <f t="shared" si="4"/>
        <v>18000</v>
      </c>
    </row>
    <row r="29" spans="1:10" ht="15.6" x14ac:dyDescent="0.3">
      <c r="A29" s="26" t="s">
        <v>124</v>
      </c>
      <c r="B29" s="14" t="s">
        <v>93</v>
      </c>
      <c r="C29" s="17" t="s">
        <v>142</v>
      </c>
      <c r="D29" s="17"/>
      <c r="E29" s="14" t="str">
        <f t="shared" si="0"/>
        <v>26.02.21.008</v>
      </c>
      <c r="F29" s="16" t="str">
        <f t="shared" si="3"/>
        <v>Nur azizah azzahra</v>
      </c>
      <c r="G29" s="16" t="str">
        <f t="shared" si="1"/>
        <v>BOTOL CAMPUR</v>
      </c>
      <c r="H29" s="23">
        <v>388</v>
      </c>
      <c r="I29" s="24">
        <f t="shared" si="2"/>
        <v>500</v>
      </c>
      <c r="J29" s="27">
        <f t="shared" si="4"/>
        <v>194000</v>
      </c>
    </row>
    <row r="30" spans="1:10" ht="15.6" x14ac:dyDescent="0.3">
      <c r="A30" s="26" t="s">
        <v>129</v>
      </c>
      <c r="B30" s="14" t="s">
        <v>93</v>
      </c>
      <c r="C30" s="17" t="s">
        <v>142</v>
      </c>
      <c r="D30" s="17"/>
      <c r="E30" s="14" t="str">
        <f t="shared" si="0"/>
        <v>26.02.21.019</v>
      </c>
      <c r="F30" s="16" t="str">
        <f t="shared" si="3"/>
        <v>YUNITA</v>
      </c>
      <c r="G30" s="16" t="str">
        <f t="shared" si="1"/>
        <v>BOTOL CAMPUR</v>
      </c>
      <c r="H30" s="23">
        <v>70</v>
      </c>
      <c r="I30" s="24">
        <f t="shared" si="2"/>
        <v>500</v>
      </c>
      <c r="J30" s="27">
        <f t="shared" si="4"/>
        <v>35000</v>
      </c>
    </row>
    <row r="31" spans="1:10" ht="15.6" x14ac:dyDescent="0.3">
      <c r="A31" s="26" t="s">
        <v>130</v>
      </c>
      <c r="B31" s="14" t="s">
        <v>93</v>
      </c>
      <c r="C31" s="17" t="s">
        <v>142</v>
      </c>
      <c r="D31" s="17"/>
      <c r="E31" s="14" t="str">
        <f t="shared" si="0"/>
        <v>26.02.21.024</v>
      </c>
      <c r="F31" s="16" t="str">
        <f t="shared" si="3"/>
        <v>DEMA-U</v>
      </c>
      <c r="G31" s="16" t="str">
        <f t="shared" si="1"/>
        <v>BOTOL CAMPUR</v>
      </c>
      <c r="H31" s="23">
        <v>20</v>
      </c>
      <c r="I31" s="24">
        <f t="shared" si="2"/>
        <v>500</v>
      </c>
      <c r="J31" s="27">
        <f t="shared" si="4"/>
        <v>10000</v>
      </c>
    </row>
    <row r="32" spans="1:10" ht="15.6" x14ac:dyDescent="0.3">
      <c r="A32" s="26" t="s">
        <v>131</v>
      </c>
      <c r="B32" s="14" t="s">
        <v>93</v>
      </c>
      <c r="C32" s="17" t="s">
        <v>142</v>
      </c>
      <c r="D32" s="17"/>
      <c r="E32" s="14" t="str">
        <f t="shared" si="0"/>
        <v>26.02.21.021</v>
      </c>
      <c r="F32" s="16" t="str">
        <f t="shared" si="3"/>
        <v>Diva risti</v>
      </c>
      <c r="G32" s="16" t="str">
        <f t="shared" si="1"/>
        <v>BOTOL CAMPUR</v>
      </c>
      <c r="H32" s="23">
        <v>2</v>
      </c>
      <c r="I32" s="24">
        <f t="shared" si="2"/>
        <v>500</v>
      </c>
      <c r="J32" s="27">
        <f t="shared" si="4"/>
        <v>1000</v>
      </c>
    </row>
    <row r="33" spans="1:10" ht="15.6" x14ac:dyDescent="0.3">
      <c r="A33" s="26" t="s">
        <v>130</v>
      </c>
      <c r="B33" s="14" t="s">
        <v>93</v>
      </c>
      <c r="C33" s="17" t="s">
        <v>142</v>
      </c>
      <c r="D33" s="17"/>
      <c r="E33" s="14" t="str">
        <f t="shared" si="0"/>
        <v>26.02.21.024</v>
      </c>
      <c r="F33" s="16" t="str">
        <f t="shared" si="3"/>
        <v>DEMA-U</v>
      </c>
      <c r="G33" s="16" t="str">
        <f t="shared" si="1"/>
        <v>BOTOL CAMPUR</v>
      </c>
      <c r="H33" s="23">
        <v>4</v>
      </c>
      <c r="I33" s="24">
        <f t="shared" si="2"/>
        <v>500</v>
      </c>
      <c r="J33" s="27">
        <f t="shared" si="4"/>
        <v>2000</v>
      </c>
    </row>
    <row r="34" spans="1:10" ht="15.6" x14ac:dyDescent="0.3">
      <c r="A34" s="26" t="s">
        <v>132</v>
      </c>
      <c r="B34" s="14" t="s">
        <v>97</v>
      </c>
      <c r="C34" s="17" t="s">
        <v>142</v>
      </c>
      <c r="D34" s="17"/>
      <c r="E34" s="14" t="str">
        <f t="shared" ref="E34:E65" si="5">VLOOKUP(A34,Datanasabah,2,FALSE)</f>
        <v>26.02.21.014</v>
      </c>
      <c r="F34" s="16" t="str">
        <f t="shared" ref="F34:F65" si="6">VLOOKUP(A34,Datanasabah,3,FALSE)</f>
        <v>Maulida ismlamiati</v>
      </c>
      <c r="G34" s="16" t="str">
        <f t="shared" ref="G34:G65" si="7">VLOOKUP(B34,Datakategori,2,FALSE)</f>
        <v>BOTOL PLASTIK BIRU BERSIH</v>
      </c>
      <c r="H34" s="23">
        <v>8</v>
      </c>
      <c r="I34" s="24">
        <f t="shared" ref="I34:I65" si="8">IF(AND($C34="a"),VLOOKUP($B34,Datakategori,3,0),IF($C34="b",VLOOKUP($B34,Datakategori,4,0),IF($C34="c",VLOOKUP($B34,Datakategori,5,0),IF($C34="d",VLOOKUP($B34,Datakategori,6,0),0))))</f>
        <v>1000</v>
      </c>
      <c r="J34" s="27">
        <f t="shared" si="4"/>
        <v>8000</v>
      </c>
    </row>
    <row r="35" spans="1:10" ht="15.6" x14ac:dyDescent="0.3">
      <c r="A35" s="26" t="s">
        <v>133</v>
      </c>
      <c r="B35" s="14" t="s">
        <v>165</v>
      </c>
      <c r="C35" s="17" t="s">
        <v>142</v>
      </c>
      <c r="D35" s="17"/>
      <c r="E35" s="14" t="str">
        <f t="shared" si="5"/>
        <v>26.02.21.023</v>
      </c>
      <c r="F35" s="16" t="str">
        <f t="shared" si="6"/>
        <v>UKM JQH</v>
      </c>
      <c r="G35" s="16" t="str">
        <f t="shared" si="7"/>
        <v>Gelas Kotor</v>
      </c>
      <c r="H35" s="23">
        <v>0.5</v>
      </c>
      <c r="I35" s="24">
        <f t="shared" si="8"/>
        <v>1000</v>
      </c>
      <c r="J35" s="27">
        <f t="shared" si="4"/>
        <v>500</v>
      </c>
    </row>
    <row r="36" spans="1:10" ht="15.6" x14ac:dyDescent="0.3">
      <c r="A36" s="26" t="s">
        <v>134</v>
      </c>
      <c r="B36" s="14" t="s">
        <v>93</v>
      </c>
      <c r="C36" s="17" t="s">
        <v>142</v>
      </c>
      <c r="D36" s="17"/>
      <c r="E36" s="14" t="str">
        <f t="shared" si="5"/>
        <v>26.02.21.026</v>
      </c>
      <c r="F36" s="16" t="str">
        <f t="shared" si="6"/>
        <v>TEATER IQRO</v>
      </c>
      <c r="G36" s="16" t="str">
        <f t="shared" si="7"/>
        <v>BOTOL CAMPUR</v>
      </c>
      <c r="H36" s="23">
        <v>11</v>
      </c>
      <c r="I36" s="24">
        <f t="shared" si="8"/>
        <v>500</v>
      </c>
      <c r="J36" s="27">
        <f t="shared" si="4"/>
        <v>5500</v>
      </c>
    </row>
    <row r="37" spans="1:10" ht="15.6" x14ac:dyDescent="0.3">
      <c r="A37" s="26" t="s">
        <v>134</v>
      </c>
      <c r="B37" s="14" t="s">
        <v>103</v>
      </c>
      <c r="C37" s="17" t="s">
        <v>142</v>
      </c>
      <c r="D37" s="17"/>
      <c r="E37" s="14" t="str">
        <f t="shared" si="5"/>
        <v>26.02.21.026</v>
      </c>
      <c r="F37" s="16" t="str">
        <f t="shared" si="6"/>
        <v>TEATER IQRO</v>
      </c>
      <c r="G37" s="16" t="str">
        <f t="shared" si="7"/>
        <v>KARDUS</v>
      </c>
      <c r="H37" s="23">
        <v>12</v>
      </c>
      <c r="I37" s="24">
        <f t="shared" si="8"/>
        <v>1500</v>
      </c>
      <c r="J37" s="27">
        <f t="shared" si="4"/>
        <v>18000</v>
      </c>
    </row>
    <row r="38" spans="1:10" ht="15.6" x14ac:dyDescent="0.3">
      <c r="A38" s="26" t="s">
        <v>120</v>
      </c>
      <c r="B38" s="14" t="s">
        <v>93</v>
      </c>
      <c r="C38" s="17" t="s">
        <v>142</v>
      </c>
      <c r="D38" s="17"/>
      <c r="E38" s="14" t="str">
        <f t="shared" si="5"/>
        <v>26.02.21.013</v>
      </c>
      <c r="F38" s="16" t="str">
        <f t="shared" si="6"/>
        <v>Indo masriani</v>
      </c>
      <c r="G38" s="16" t="str">
        <f t="shared" si="7"/>
        <v>BOTOL CAMPUR</v>
      </c>
      <c r="H38" s="23">
        <v>0.8</v>
      </c>
      <c r="I38" s="24">
        <f t="shared" si="8"/>
        <v>500</v>
      </c>
      <c r="J38" s="27">
        <f t="shared" si="4"/>
        <v>400</v>
      </c>
    </row>
    <row r="39" spans="1:10" ht="15.6" x14ac:dyDescent="0.3">
      <c r="A39" s="26" t="s">
        <v>135</v>
      </c>
      <c r="B39" s="14" t="s">
        <v>93</v>
      </c>
      <c r="C39" s="17" t="s">
        <v>142</v>
      </c>
      <c r="D39" s="17"/>
      <c r="E39" s="14" t="str">
        <f t="shared" si="5"/>
        <v>26.02.21.027</v>
      </c>
      <c r="F39" s="16" t="str">
        <f t="shared" si="6"/>
        <v>SS MART</v>
      </c>
      <c r="G39" s="16" t="str">
        <f t="shared" si="7"/>
        <v>BOTOL CAMPUR</v>
      </c>
      <c r="H39" s="23">
        <v>8</v>
      </c>
      <c r="I39" s="24">
        <f t="shared" si="8"/>
        <v>500</v>
      </c>
      <c r="J39" s="27">
        <f t="shared" si="4"/>
        <v>4000</v>
      </c>
    </row>
    <row r="40" spans="1:10" ht="15.6" x14ac:dyDescent="0.3">
      <c r="A40" s="26" t="s">
        <v>125</v>
      </c>
      <c r="B40" s="14" t="s">
        <v>93</v>
      </c>
      <c r="C40" s="17" t="s">
        <v>142</v>
      </c>
      <c r="D40" s="17"/>
      <c r="E40" s="14" t="str">
        <f t="shared" si="5"/>
        <v>26.02.21.009</v>
      </c>
      <c r="F40" s="16" t="str">
        <f t="shared" si="6"/>
        <v>Annisa fauziah</v>
      </c>
      <c r="G40" s="16" t="str">
        <f t="shared" si="7"/>
        <v>BOTOL CAMPUR</v>
      </c>
      <c r="H40" s="23">
        <v>148</v>
      </c>
      <c r="I40" s="24">
        <f t="shared" si="8"/>
        <v>500</v>
      </c>
      <c r="J40" s="27">
        <f t="shared" si="4"/>
        <v>74000</v>
      </c>
    </row>
    <row r="41" spans="1:10" ht="15.6" x14ac:dyDescent="0.3">
      <c r="A41" s="26" t="s">
        <v>136</v>
      </c>
      <c r="B41" s="14" t="s">
        <v>93</v>
      </c>
      <c r="C41" s="17" t="s">
        <v>142</v>
      </c>
      <c r="D41" s="17"/>
      <c r="E41" s="14" t="str">
        <f t="shared" si="5"/>
        <v>26.02.21.022</v>
      </c>
      <c r="F41" s="16" t="str">
        <f t="shared" si="6"/>
        <v>Nisrin</v>
      </c>
      <c r="G41" s="16" t="str">
        <f t="shared" si="7"/>
        <v>BOTOL CAMPUR</v>
      </c>
      <c r="H41" s="23">
        <v>19</v>
      </c>
      <c r="I41" s="24">
        <f t="shared" si="8"/>
        <v>500</v>
      </c>
      <c r="J41" s="27">
        <f t="shared" si="4"/>
        <v>9500</v>
      </c>
    </row>
    <row r="42" spans="1:10" ht="15.6" x14ac:dyDescent="0.3">
      <c r="A42" s="26" t="s">
        <v>63</v>
      </c>
      <c r="B42" s="14" t="s">
        <v>93</v>
      </c>
      <c r="C42" s="17" t="s">
        <v>142</v>
      </c>
      <c r="D42" s="17"/>
      <c r="E42" s="14" t="str">
        <f t="shared" si="5"/>
        <v>26.02.21.017</v>
      </c>
      <c r="F42" s="16" t="str">
        <f t="shared" si="6"/>
        <v>Mauizatul hasanah</v>
      </c>
      <c r="G42" s="16" t="str">
        <f t="shared" si="7"/>
        <v>BOTOL CAMPUR</v>
      </c>
      <c r="H42" s="23">
        <v>14</v>
      </c>
      <c r="I42" s="24">
        <f t="shared" si="8"/>
        <v>500</v>
      </c>
      <c r="J42" s="27">
        <f t="shared" si="4"/>
        <v>7000</v>
      </c>
    </row>
    <row r="43" spans="1:10" ht="15.6" x14ac:dyDescent="0.3">
      <c r="A43" s="26" t="s">
        <v>124</v>
      </c>
      <c r="B43" s="14" t="s">
        <v>91</v>
      </c>
      <c r="C43" s="17" t="s">
        <v>142</v>
      </c>
      <c r="D43" s="17"/>
      <c r="E43" s="14" t="str">
        <f t="shared" si="5"/>
        <v>26.02.21.008</v>
      </c>
      <c r="F43" s="16" t="str">
        <f t="shared" si="6"/>
        <v>Nur azizah azzahra</v>
      </c>
      <c r="G43" s="16" t="str">
        <f t="shared" si="7"/>
        <v>BLOWING</v>
      </c>
      <c r="H43" s="23">
        <v>42</v>
      </c>
      <c r="I43" s="24">
        <f t="shared" si="8"/>
        <v>700</v>
      </c>
      <c r="J43" s="27">
        <f t="shared" si="4"/>
        <v>29400</v>
      </c>
    </row>
    <row r="44" spans="1:10" ht="15.6" x14ac:dyDescent="0.3">
      <c r="A44" s="26" t="s">
        <v>124</v>
      </c>
      <c r="B44" s="14" t="s">
        <v>95</v>
      </c>
      <c r="C44" s="17" t="s">
        <v>142</v>
      </c>
      <c r="D44" s="17"/>
      <c r="E44" s="14" t="str">
        <f t="shared" si="5"/>
        <v>26.02.21.008</v>
      </c>
      <c r="F44" s="16" t="str">
        <f t="shared" si="6"/>
        <v>Nur azizah azzahra</v>
      </c>
      <c r="G44" s="16" t="str">
        <f t="shared" si="7"/>
        <v>BOTOL PLASTIK BENING BERSIH</v>
      </c>
      <c r="H44" s="23">
        <v>4</v>
      </c>
      <c r="I44" s="24">
        <f t="shared" si="8"/>
        <v>2000</v>
      </c>
      <c r="J44" s="27">
        <f t="shared" si="4"/>
        <v>8000</v>
      </c>
    </row>
    <row r="45" spans="1:10" ht="15.6" x14ac:dyDescent="0.3">
      <c r="A45" s="26" t="s">
        <v>124</v>
      </c>
      <c r="B45" s="14" t="s">
        <v>158</v>
      </c>
      <c r="C45" s="17" t="s">
        <v>142</v>
      </c>
      <c r="D45" s="17"/>
      <c r="E45" s="14" t="str">
        <f t="shared" si="5"/>
        <v>26.02.21.008</v>
      </c>
      <c r="F45" s="16" t="str">
        <f t="shared" si="6"/>
        <v>Nur azizah azzahra</v>
      </c>
      <c r="G45" s="16" t="str">
        <f t="shared" si="7"/>
        <v>KALENG biasa</v>
      </c>
      <c r="H45" s="23">
        <v>2</v>
      </c>
      <c r="I45" s="24">
        <f t="shared" si="8"/>
        <v>250</v>
      </c>
      <c r="J45" s="27">
        <f t="shared" si="4"/>
        <v>500</v>
      </c>
    </row>
    <row r="46" spans="1:10" ht="15.6" x14ac:dyDescent="0.3">
      <c r="A46" s="26" t="s">
        <v>121</v>
      </c>
      <c r="B46" s="14" t="s">
        <v>103</v>
      </c>
      <c r="C46" s="17" t="s">
        <v>142</v>
      </c>
      <c r="D46" s="17"/>
      <c r="E46" s="14" t="str">
        <f t="shared" si="5"/>
        <v>26.02.21.002</v>
      </c>
      <c r="F46" s="16" t="str">
        <f t="shared" si="6"/>
        <v>muhammad amir mahmud</v>
      </c>
      <c r="G46" s="16" t="str">
        <f t="shared" si="7"/>
        <v>KARDUS</v>
      </c>
      <c r="H46" s="23">
        <v>529</v>
      </c>
      <c r="I46" s="24">
        <f t="shared" si="8"/>
        <v>1500</v>
      </c>
      <c r="J46" s="27">
        <f t="shared" si="4"/>
        <v>793500</v>
      </c>
    </row>
    <row r="47" spans="1:10" ht="15.6" x14ac:dyDescent="0.3">
      <c r="A47" s="26" t="s">
        <v>122</v>
      </c>
      <c r="B47" s="14" t="s">
        <v>148</v>
      </c>
      <c r="C47" s="17" t="s">
        <v>142</v>
      </c>
      <c r="D47" s="17"/>
      <c r="E47" s="14" t="str">
        <f t="shared" si="5"/>
        <v>26.02.21.003</v>
      </c>
      <c r="F47" s="16" t="str">
        <f t="shared" si="6"/>
        <v>Maudy Wahyuni</v>
      </c>
      <c r="G47" s="16" t="str">
        <f t="shared" si="7"/>
        <v>Kertas Putih</v>
      </c>
      <c r="H47" s="23">
        <v>176</v>
      </c>
      <c r="I47" s="24">
        <f t="shared" si="8"/>
        <v>1000</v>
      </c>
      <c r="J47" s="27">
        <f t="shared" si="4"/>
        <v>176000</v>
      </c>
    </row>
    <row r="48" spans="1:10" ht="15.6" x14ac:dyDescent="0.3">
      <c r="A48" s="26" t="s">
        <v>137</v>
      </c>
      <c r="B48" s="14" t="s">
        <v>148</v>
      </c>
      <c r="C48" s="17" t="s">
        <v>142</v>
      </c>
      <c r="D48" s="17"/>
      <c r="E48" s="14" t="str">
        <f t="shared" si="5"/>
        <v>26.02.21.001</v>
      </c>
      <c r="F48" s="16" t="str">
        <f t="shared" si="6"/>
        <v>Sindi nur latifah</v>
      </c>
      <c r="G48" s="16" t="str">
        <f t="shared" si="7"/>
        <v>Kertas Putih</v>
      </c>
      <c r="H48" s="23">
        <v>599</v>
      </c>
      <c r="I48" s="24">
        <f t="shared" si="8"/>
        <v>1000</v>
      </c>
      <c r="J48" s="27">
        <f t="shared" si="4"/>
        <v>599000</v>
      </c>
    </row>
    <row r="49" spans="1:10" ht="15.6" x14ac:dyDescent="0.3">
      <c r="A49" s="26" t="s">
        <v>138</v>
      </c>
      <c r="B49" s="14" t="s">
        <v>93</v>
      </c>
      <c r="C49" s="17" t="s">
        <v>142</v>
      </c>
      <c r="D49" s="17"/>
      <c r="E49" s="14" t="str">
        <f t="shared" si="5"/>
        <v>26.02.21.012</v>
      </c>
      <c r="F49" s="16" t="str">
        <f t="shared" si="6"/>
        <v>M. khairul huda</v>
      </c>
      <c r="G49" s="16" t="str">
        <f t="shared" si="7"/>
        <v>BOTOL CAMPUR</v>
      </c>
      <c r="H49" s="23">
        <v>2</v>
      </c>
      <c r="I49" s="24">
        <f t="shared" si="8"/>
        <v>500</v>
      </c>
      <c r="J49" s="27">
        <f t="shared" si="4"/>
        <v>1000</v>
      </c>
    </row>
    <row r="50" spans="1:10" ht="15.6" x14ac:dyDescent="0.3">
      <c r="A50" s="26" t="s">
        <v>132</v>
      </c>
      <c r="B50" s="14" t="s">
        <v>151</v>
      </c>
      <c r="C50" s="17" t="s">
        <v>142</v>
      </c>
      <c r="D50" s="17"/>
      <c r="E50" s="14" t="str">
        <f t="shared" si="5"/>
        <v>26.02.21.014</v>
      </c>
      <c r="F50" s="16" t="str">
        <f t="shared" si="6"/>
        <v>Maulida ismlamiati</v>
      </c>
      <c r="G50" s="16" t="str">
        <f t="shared" si="7"/>
        <v>GELAS Bersih</v>
      </c>
      <c r="H50" s="23">
        <v>0.6</v>
      </c>
      <c r="I50" s="24">
        <f t="shared" si="8"/>
        <v>2500</v>
      </c>
      <c r="J50" s="27">
        <f t="shared" si="4"/>
        <v>1500</v>
      </c>
    </row>
    <row r="51" spans="1:10" ht="15.6" x14ac:dyDescent="0.3">
      <c r="A51" s="26" t="s">
        <v>128</v>
      </c>
      <c r="B51" s="14" t="s">
        <v>93</v>
      </c>
      <c r="C51" s="17" t="s">
        <v>142</v>
      </c>
      <c r="D51" s="17"/>
      <c r="E51" s="14" t="str">
        <f t="shared" si="5"/>
        <v>26.02.21.016</v>
      </c>
      <c r="F51" s="16" t="str">
        <f t="shared" si="6"/>
        <v>Usamah</v>
      </c>
      <c r="G51" s="16" t="str">
        <f t="shared" si="7"/>
        <v>BOTOL CAMPUR</v>
      </c>
      <c r="H51" s="23">
        <v>2</v>
      </c>
      <c r="I51" s="24">
        <f t="shared" si="8"/>
        <v>500</v>
      </c>
      <c r="J51" s="27">
        <f t="shared" si="4"/>
        <v>1000</v>
      </c>
    </row>
    <row r="52" spans="1:10" ht="15.6" x14ac:dyDescent="0.3">
      <c r="A52" s="26" t="s">
        <v>127</v>
      </c>
      <c r="B52" s="14" t="s">
        <v>93</v>
      </c>
      <c r="C52" s="17" t="s">
        <v>142</v>
      </c>
      <c r="D52" s="17"/>
      <c r="E52" s="14" t="str">
        <f t="shared" si="5"/>
        <v>26.02.21.018</v>
      </c>
      <c r="F52" s="16" t="str">
        <f t="shared" si="6"/>
        <v>Rahmah</v>
      </c>
      <c r="G52" s="16" t="str">
        <f t="shared" si="7"/>
        <v>BOTOL CAMPUR</v>
      </c>
      <c r="H52" s="23">
        <v>2</v>
      </c>
      <c r="I52" s="24">
        <f t="shared" si="8"/>
        <v>500</v>
      </c>
      <c r="J52" s="27">
        <f t="shared" si="4"/>
        <v>1000</v>
      </c>
    </row>
    <row r="53" spans="1:10" ht="15.6" x14ac:dyDescent="0.3">
      <c r="A53" s="26" t="s">
        <v>127</v>
      </c>
      <c r="B53" s="14" t="s">
        <v>165</v>
      </c>
      <c r="C53" s="17" t="s">
        <v>142</v>
      </c>
      <c r="D53" s="17"/>
      <c r="E53" s="14" t="str">
        <f t="shared" si="5"/>
        <v>26.02.21.018</v>
      </c>
      <c r="F53" s="16" t="str">
        <f t="shared" si="6"/>
        <v>Rahmah</v>
      </c>
      <c r="G53" s="16" t="str">
        <f t="shared" si="7"/>
        <v>Gelas Kotor</v>
      </c>
      <c r="H53" s="23">
        <v>1</v>
      </c>
      <c r="I53" s="24">
        <f t="shared" si="8"/>
        <v>1000</v>
      </c>
      <c r="J53" s="27">
        <f t="shared" si="4"/>
        <v>1000</v>
      </c>
    </row>
    <row r="54" spans="1:10" ht="15.6" x14ac:dyDescent="0.3">
      <c r="A54" s="26" t="s">
        <v>127</v>
      </c>
      <c r="B54" s="14" t="s">
        <v>93</v>
      </c>
      <c r="C54" s="17" t="s">
        <v>142</v>
      </c>
      <c r="D54" s="17"/>
      <c r="E54" s="14" t="str">
        <f t="shared" si="5"/>
        <v>26.02.21.018</v>
      </c>
      <c r="F54" s="16" t="str">
        <f t="shared" si="6"/>
        <v>Rahmah</v>
      </c>
      <c r="G54" s="16" t="str">
        <f t="shared" si="7"/>
        <v>BOTOL CAMPUR</v>
      </c>
      <c r="H54" s="23">
        <v>4</v>
      </c>
      <c r="I54" s="24">
        <f t="shared" si="8"/>
        <v>500</v>
      </c>
      <c r="J54" s="27">
        <f t="shared" si="4"/>
        <v>2000</v>
      </c>
    </row>
    <row r="55" spans="1:10" ht="15.6" x14ac:dyDescent="0.3">
      <c r="A55" s="26" t="s">
        <v>127</v>
      </c>
      <c r="B55" s="14" t="s">
        <v>99</v>
      </c>
      <c r="C55" s="17" t="s">
        <v>142</v>
      </c>
      <c r="D55" s="17"/>
      <c r="E55" s="14" t="str">
        <f t="shared" si="5"/>
        <v>26.02.21.018</v>
      </c>
      <c r="F55" s="16" t="str">
        <f t="shared" si="6"/>
        <v>Rahmah</v>
      </c>
      <c r="G55" s="16" t="str">
        <f t="shared" si="7"/>
        <v>BOTOL KACA</v>
      </c>
      <c r="H55" s="23">
        <v>3</v>
      </c>
      <c r="I55" s="24">
        <f t="shared" si="8"/>
        <v>100</v>
      </c>
      <c r="J55" s="27">
        <f t="shared" si="4"/>
        <v>300</v>
      </c>
    </row>
    <row r="56" spans="1:10" ht="15.6" x14ac:dyDescent="0.3">
      <c r="A56" s="26" t="s">
        <v>127</v>
      </c>
      <c r="B56" s="14" t="s">
        <v>158</v>
      </c>
      <c r="C56" s="17" t="s">
        <v>142</v>
      </c>
      <c r="D56" s="17"/>
      <c r="E56" s="14" t="str">
        <f t="shared" si="5"/>
        <v>26.02.21.018</v>
      </c>
      <c r="F56" s="16" t="str">
        <f t="shared" si="6"/>
        <v>Rahmah</v>
      </c>
      <c r="G56" s="16" t="str">
        <f t="shared" si="7"/>
        <v>KALENG biasa</v>
      </c>
      <c r="H56" s="23">
        <v>1</v>
      </c>
      <c r="I56" s="24">
        <f t="shared" si="8"/>
        <v>250</v>
      </c>
      <c r="J56" s="27">
        <f t="shared" si="4"/>
        <v>250</v>
      </c>
    </row>
    <row r="57" spans="1:10" ht="15.6" x14ac:dyDescent="0.3">
      <c r="A57" s="26" t="s">
        <v>129</v>
      </c>
      <c r="B57" s="14" t="s">
        <v>158</v>
      </c>
      <c r="C57" s="17" t="s">
        <v>142</v>
      </c>
      <c r="D57" s="17"/>
      <c r="E57" s="14" t="str">
        <f t="shared" si="5"/>
        <v>26.02.21.019</v>
      </c>
      <c r="F57" s="16" t="str">
        <f t="shared" si="6"/>
        <v>YUNITA</v>
      </c>
      <c r="G57" s="16" t="str">
        <f t="shared" si="7"/>
        <v>KALENG biasa</v>
      </c>
      <c r="H57" s="23">
        <v>15</v>
      </c>
      <c r="I57" s="24">
        <f t="shared" si="8"/>
        <v>250</v>
      </c>
      <c r="J57" s="27">
        <f t="shared" si="4"/>
        <v>3750</v>
      </c>
    </row>
    <row r="58" spans="1:10" ht="15.6" x14ac:dyDescent="0.3">
      <c r="A58" s="26" t="s">
        <v>129</v>
      </c>
      <c r="B58" s="14" t="s">
        <v>89</v>
      </c>
      <c r="C58" s="17" t="s">
        <v>142</v>
      </c>
      <c r="D58" s="17"/>
      <c r="E58" s="14" t="str">
        <f t="shared" si="5"/>
        <v>26.02.21.019</v>
      </c>
      <c r="F58" s="16" t="str">
        <f t="shared" si="6"/>
        <v>YUNITA</v>
      </c>
      <c r="G58" s="16" t="str">
        <f t="shared" si="7"/>
        <v>BESI</v>
      </c>
      <c r="H58" s="23">
        <v>5</v>
      </c>
      <c r="I58" s="24">
        <f t="shared" si="8"/>
        <v>1500</v>
      </c>
      <c r="J58" s="27">
        <f t="shared" si="4"/>
        <v>7500</v>
      </c>
    </row>
    <row r="59" spans="1:10" ht="15.6" x14ac:dyDescent="0.3">
      <c r="A59" s="26" t="s">
        <v>131</v>
      </c>
      <c r="B59" s="14" t="s">
        <v>97</v>
      </c>
      <c r="C59" s="17" t="s">
        <v>142</v>
      </c>
      <c r="D59" s="17"/>
      <c r="E59" s="14" t="str">
        <f t="shared" si="5"/>
        <v>26.02.21.021</v>
      </c>
      <c r="F59" s="16" t="str">
        <f t="shared" si="6"/>
        <v>Diva risti</v>
      </c>
      <c r="G59" s="16" t="str">
        <f t="shared" si="7"/>
        <v>BOTOL PLASTIK BIRU BERSIH</v>
      </c>
      <c r="H59" s="23">
        <v>5</v>
      </c>
      <c r="I59" s="24">
        <f t="shared" si="8"/>
        <v>1000</v>
      </c>
      <c r="J59" s="27">
        <f t="shared" si="4"/>
        <v>5000</v>
      </c>
    </row>
    <row r="60" spans="1:10" ht="15.6" x14ac:dyDescent="0.3">
      <c r="A60" s="26" t="s">
        <v>131</v>
      </c>
      <c r="B60" s="14" t="s">
        <v>97</v>
      </c>
      <c r="C60" s="17" t="s">
        <v>142</v>
      </c>
      <c r="D60" s="17"/>
      <c r="E60" s="14" t="str">
        <f t="shared" si="5"/>
        <v>26.02.21.021</v>
      </c>
      <c r="F60" s="16" t="str">
        <f t="shared" si="6"/>
        <v>Diva risti</v>
      </c>
      <c r="G60" s="16" t="str">
        <f t="shared" si="7"/>
        <v>BOTOL PLASTIK BIRU BERSIH</v>
      </c>
      <c r="H60" s="23">
        <v>8</v>
      </c>
      <c r="I60" s="24">
        <f t="shared" si="8"/>
        <v>1000</v>
      </c>
      <c r="J60" s="27">
        <f t="shared" si="4"/>
        <v>8000</v>
      </c>
    </row>
    <row r="61" spans="1:10" ht="15.6" x14ac:dyDescent="0.3">
      <c r="A61" s="26" t="s">
        <v>136</v>
      </c>
      <c r="B61" s="14" t="s">
        <v>148</v>
      </c>
      <c r="C61" s="17" t="s">
        <v>142</v>
      </c>
      <c r="D61" s="17"/>
      <c r="E61" s="14" t="str">
        <f t="shared" si="5"/>
        <v>26.02.21.022</v>
      </c>
      <c r="F61" s="16" t="str">
        <f t="shared" si="6"/>
        <v>Nisrin</v>
      </c>
      <c r="G61" s="16" t="str">
        <f t="shared" si="7"/>
        <v>Kertas Putih</v>
      </c>
      <c r="H61" s="23">
        <v>5</v>
      </c>
      <c r="I61" s="24">
        <f t="shared" si="8"/>
        <v>1000</v>
      </c>
      <c r="J61" s="27">
        <f t="shared" si="4"/>
        <v>5000</v>
      </c>
    </row>
    <row r="62" spans="1:10" ht="15.6" x14ac:dyDescent="0.3">
      <c r="A62" s="26" t="s">
        <v>139</v>
      </c>
      <c r="B62" s="14" t="s">
        <v>93</v>
      </c>
      <c r="C62" s="17" t="s">
        <v>142</v>
      </c>
      <c r="D62" s="17"/>
      <c r="E62" s="14" t="str">
        <f t="shared" si="5"/>
        <v>26.02.21.004</v>
      </c>
      <c r="F62" s="16" t="str">
        <f t="shared" si="6"/>
        <v>Sucitra</v>
      </c>
      <c r="G62" s="16" t="str">
        <f t="shared" si="7"/>
        <v>BOTOL CAMPUR</v>
      </c>
      <c r="H62" s="23">
        <v>0.3</v>
      </c>
      <c r="I62" s="24">
        <f t="shared" si="8"/>
        <v>500</v>
      </c>
      <c r="J62" s="27">
        <f t="shared" si="4"/>
        <v>150</v>
      </c>
    </row>
    <row r="63" spans="1:10" ht="15.6" x14ac:dyDescent="0.3">
      <c r="A63" s="26" t="s">
        <v>139</v>
      </c>
      <c r="B63" s="14" t="s">
        <v>93</v>
      </c>
      <c r="C63" s="17" t="s">
        <v>142</v>
      </c>
      <c r="D63" s="17"/>
      <c r="E63" s="14" t="str">
        <f t="shared" si="5"/>
        <v>26.02.21.004</v>
      </c>
      <c r="F63" s="16" t="str">
        <f t="shared" si="6"/>
        <v>Sucitra</v>
      </c>
      <c r="G63" s="16" t="str">
        <f t="shared" si="7"/>
        <v>BOTOL CAMPUR</v>
      </c>
      <c r="H63" s="23">
        <v>0.9</v>
      </c>
      <c r="I63" s="24">
        <f t="shared" si="8"/>
        <v>500</v>
      </c>
      <c r="J63" s="27">
        <f t="shared" si="4"/>
        <v>450</v>
      </c>
    </row>
    <row r="64" spans="1:10" ht="15.6" x14ac:dyDescent="0.3">
      <c r="A64" s="26" t="s">
        <v>139</v>
      </c>
      <c r="B64" s="14" t="s">
        <v>146</v>
      </c>
      <c r="C64" s="17" t="s">
        <v>142</v>
      </c>
      <c r="D64" s="17"/>
      <c r="E64" s="14" t="str">
        <f t="shared" si="5"/>
        <v>26.02.21.004</v>
      </c>
      <c r="F64" s="16" t="str">
        <f t="shared" si="6"/>
        <v>Sucitra</v>
      </c>
      <c r="G64" s="16" t="str">
        <f t="shared" si="7"/>
        <v>Kertas Campur</v>
      </c>
      <c r="H64" s="23">
        <v>15</v>
      </c>
      <c r="I64" s="24">
        <f t="shared" si="8"/>
        <v>500</v>
      </c>
      <c r="J64" s="27">
        <f t="shared" si="4"/>
        <v>7500</v>
      </c>
    </row>
    <row r="65" spans="1:10" ht="15.6" x14ac:dyDescent="0.3">
      <c r="A65" s="26" t="s">
        <v>139</v>
      </c>
      <c r="B65" s="14" t="s">
        <v>148</v>
      </c>
      <c r="C65" s="17" t="s">
        <v>142</v>
      </c>
      <c r="D65" s="17"/>
      <c r="E65" s="14" t="str">
        <f t="shared" si="5"/>
        <v>26.02.21.004</v>
      </c>
      <c r="F65" s="16" t="str">
        <f t="shared" si="6"/>
        <v>Sucitra</v>
      </c>
      <c r="G65" s="16" t="str">
        <f t="shared" si="7"/>
        <v>Kertas Putih</v>
      </c>
      <c r="H65" s="23">
        <v>25</v>
      </c>
      <c r="I65" s="24">
        <f t="shared" si="8"/>
        <v>1000</v>
      </c>
      <c r="J65" s="27">
        <f t="shared" si="4"/>
        <v>25000</v>
      </c>
    </row>
    <row r="66" spans="1:10" ht="15.6" x14ac:dyDescent="0.3">
      <c r="A66" s="26" t="s">
        <v>140</v>
      </c>
      <c r="B66" s="14" t="s">
        <v>148</v>
      </c>
      <c r="C66" s="17" t="s">
        <v>142</v>
      </c>
      <c r="D66" s="17"/>
      <c r="E66" s="14" t="str">
        <f t="shared" ref="E66:E90" si="9">VLOOKUP(A66,Datanasabah,2,FALSE)</f>
        <v>26.02.21.011</v>
      </c>
      <c r="F66" s="16" t="str">
        <f t="shared" ref="F66:F90" si="10">VLOOKUP(A66,Datanasabah,3,FALSE)</f>
        <v>Nurul Amelia</v>
      </c>
      <c r="G66" s="16" t="str">
        <f t="shared" ref="G66:G90" si="11">VLOOKUP(B66,Datakategori,2,FALSE)</f>
        <v>Kertas Putih</v>
      </c>
      <c r="H66" s="23">
        <v>100</v>
      </c>
      <c r="I66" s="24">
        <f t="shared" ref="I66:I73" si="12">IF(AND($C66="a"),VLOOKUP($B66,Datakategori,3,0),IF($C66="b",VLOOKUP($B66,Datakategori,4,0),IF($C66="c",VLOOKUP($B66,Datakategori,5,0),IF($C66="d",VLOOKUP($B66,Datakategori,6,0),0))))</f>
        <v>1000</v>
      </c>
      <c r="J66" s="27">
        <f t="shared" si="4"/>
        <v>100000</v>
      </c>
    </row>
    <row r="67" spans="1:10" ht="15.6" x14ac:dyDescent="0.3">
      <c r="A67" s="26" t="s">
        <v>140</v>
      </c>
      <c r="B67" s="14" t="s">
        <v>146</v>
      </c>
      <c r="C67" s="17" t="s">
        <v>142</v>
      </c>
      <c r="D67" s="17"/>
      <c r="E67" s="14" t="str">
        <f t="shared" si="9"/>
        <v>26.02.21.011</v>
      </c>
      <c r="F67" s="16" t="str">
        <f t="shared" si="10"/>
        <v>Nurul Amelia</v>
      </c>
      <c r="G67" s="16" t="str">
        <f t="shared" si="11"/>
        <v>Kertas Campur</v>
      </c>
      <c r="H67" s="23">
        <v>30</v>
      </c>
      <c r="I67" s="24">
        <f t="shared" si="12"/>
        <v>500</v>
      </c>
      <c r="J67" s="27">
        <f t="shared" ref="J67:J90" si="13">I67*H67</f>
        <v>15000</v>
      </c>
    </row>
    <row r="68" spans="1:10" ht="15.6" x14ac:dyDescent="0.3">
      <c r="A68" s="26" t="s">
        <v>141</v>
      </c>
      <c r="B68" s="14" t="s">
        <v>97</v>
      </c>
      <c r="C68" s="17" t="s">
        <v>142</v>
      </c>
      <c r="D68" s="17"/>
      <c r="E68" s="14" t="str">
        <f t="shared" si="9"/>
        <v>26.02.21.020</v>
      </c>
      <c r="F68" s="16" t="str">
        <f t="shared" si="10"/>
        <v>Dhea Shasmita jaya</v>
      </c>
      <c r="G68" s="16" t="str">
        <f t="shared" si="11"/>
        <v>BOTOL PLASTIK BIRU BERSIH</v>
      </c>
      <c r="H68" s="23">
        <v>0.8</v>
      </c>
      <c r="I68" s="24">
        <f t="shared" si="12"/>
        <v>1000</v>
      </c>
      <c r="J68" s="27">
        <f t="shared" si="13"/>
        <v>800</v>
      </c>
    </row>
    <row r="69" spans="1:10" ht="15.6" x14ac:dyDescent="0.3">
      <c r="A69" s="26"/>
      <c r="B69" s="14"/>
      <c r="C69" s="12"/>
      <c r="D69" s="12"/>
      <c r="E69" s="14" t="e">
        <f t="shared" si="9"/>
        <v>#N/A</v>
      </c>
      <c r="F69" s="16" t="e">
        <f t="shared" si="10"/>
        <v>#N/A</v>
      </c>
      <c r="G69" s="16" t="e">
        <f t="shared" si="11"/>
        <v>#N/A</v>
      </c>
      <c r="H69" s="23"/>
      <c r="I69" s="24">
        <f t="shared" si="12"/>
        <v>0</v>
      </c>
      <c r="J69" s="27">
        <f t="shared" si="13"/>
        <v>0</v>
      </c>
    </row>
    <row r="70" spans="1:10" ht="15.6" x14ac:dyDescent="0.3">
      <c r="A70" s="26"/>
      <c r="B70" s="14"/>
      <c r="C70" s="12"/>
      <c r="D70" s="12"/>
      <c r="E70" s="14" t="e">
        <f t="shared" si="9"/>
        <v>#N/A</v>
      </c>
      <c r="F70" s="16" t="e">
        <f t="shared" si="10"/>
        <v>#N/A</v>
      </c>
      <c r="G70" s="16" t="e">
        <f t="shared" si="11"/>
        <v>#N/A</v>
      </c>
      <c r="H70" s="14"/>
      <c r="I70" s="24">
        <f t="shared" si="12"/>
        <v>0</v>
      </c>
      <c r="J70" s="27">
        <f t="shared" si="13"/>
        <v>0</v>
      </c>
    </row>
    <row r="71" spans="1:10" ht="15.6" x14ac:dyDescent="0.3">
      <c r="A71" s="26"/>
      <c r="B71" s="14"/>
      <c r="C71" s="12"/>
      <c r="D71" s="12"/>
      <c r="E71" s="14" t="e">
        <f t="shared" si="9"/>
        <v>#N/A</v>
      </c>
      <c r="F71" s="16" t="e">
        <f t="shared" si="10"/>
        <v>#N/A</v>
      </c>
      <c r="G71" s="16" t="e">
        <f t="shared" si="11"/>
        <v>#N/A</v>
      </c>
      <c r="H71" s="14"/>
      <c r="I71" s="24">
        <f t="shared" si="12"/>
        <v>0</v>
      </c>
      <c r="J71" s="27">
        <f t="shared" si="13"/>
        <v>0</v>
      </c>
    </row>
    <row r="72" spans="1:10" ht="15.6" x14ac:dyDescent="0.3">
      <c r="A72" s="26"/>
      <c r="B72" s="14"/>
      <c r="C72" s="12"/>
      <c r="D72" s="12"/>
      <c r="E72" s="14" t="e">
        <f t="shared" si="9"/>
        <v>#N/A</v>
      </c>
      <c r="F72" s="16" t="e">
        <f t="shared" si="10"/>
        <v>#N/A</v>
      </c>
      <c r="G72" s="16" t="e">
        <f t="shared" si="11"/>
        <v>#N/A</v>
      </c>
      <c r="H72" s="14"/>
      <c r="I72" s="24">
        <f t="shared" si="12"/>
        <v>0</v>
      </c>
      <c r="J72" s="27">
        <f t="shared" si="13"/>
        <v>0</v>
      </c>
    </row>
    <row r="73" spans="1:10" ht="15.6" x14ac:dyDescent="0.3">
      <c r="A73" s="26"/>
      <c r="B73" s="14"/>
      <c r="C73" s="12"/>
      <c r="D73" s="12"/>
      <c r="E73" s="14" t="e">
        <f t="shared" si="9"/>
        <v>#N/A</v>
      </c>
      <c r="F73" s="16" t="e">
        <f t="shared" si="10"/>
        <v>#N/A</v>
      </c>
      <c r="G73" s="16" t="e">
        <f t="shared" si="11"/>
        <v>#N/A</v>
      </c>
      <c r="H73" s="14"/>
      <c r="I73" s="24">
        <f t="shared" si="12"/>
        <v>0</v>
      </c>
      <c r="J73" s="27">
        <f t="shared" si="13"/>
        <v>0</v>
      </c>
    </row>
    <row r="74" spans="1:10" ht="15.6" x14ac:dyDescent="0.3">
      <c r="A74" s="26"/>
      <c r="B74" s="14"/>
      <c r="C74" s="12"/>
      <c r="D74" s="12"/>
      <c r="E74" s="14" t="e">
        <f t="shared" si="9"/>
        <v>#N/A</v>
      </c>
      <c r="F74" s="16" t="e">
        <f t="shared" si="10"/>
        <v>#N/A</v>
      </c>
      <c r="G74" s="16" t="e">
        <f t="shared" si="11"/>
        <v>#N/A</v>
      </c>
      <c r="H74" s="14"/>
      <c r="I74" s="24">
        <f t="shared" ref="I74:I90" si="14">IF(AND($C74="1"),VLOOKUP($B74,Datakategori,3,0),IF($C74="2",VLOOKUP($B74,Datakategori,4,0),IF($C74="3",VLOOKUP($B74,Datakategori,5,0),IF($C74="4",VLOOKUP($B74,Datakategori,6,0),0))))</f>
        <v>0</v>
      </c>
      <c r="J74" s="27">
        <f t="shared" si="13"/>
        <v>0</v>
      </c>
    </row>
    <row r="75" spans="1:10" ht="15.6" x14ac:dyDescent="0.3">
      <c r="A75" s="26"/>
      <c r="B75" s="14"/>
      <c r="C75" s="12"/>
      <c r="D75" s="12"/>
      <c r="E75" s="14" t="e">
        <f t="shared" si="9"/>
        <v>#N/A</v>
      </c>
      <c r="F75" s="16" t="e">
        <f t="shared" si="10"/>
        <v>#N/A</v>
      </c>
      <c r="G75" s="16" t="e">
        <f t="shared" si="11"/>
        <v>#N/A</v>
      </c>
      <c r="H75" s="14"/>
      <c r="I75" s="24">
        <f t="shared" si="14"/>
        <v>0</v>
      </c>
      <c r="J75" s="27">
        <f t="shared" si="13"/>
        <v>0</v>
      </c>
    </row>
    <row r="76" spans="1:10" ht="15.6" x14ac:dyDescent="0.3">
      <c r="A76" s="26"/>
      <c r="B76" s="14"/>
      <c r="C76" s="12"/>
      <c r="D76" s="12"/>
      <c r="E76" s="14" t="e">
        <f t="shared" si="9"/>
        <v>#N/A</v>
      </c>
      <c r="F76" s="16" t="e">
        <f t="shared" si="10"/>
        <v>#N/A</v>
      </c>
      <c r="G76" s="16" t="e">
        <f t="shared" si="11"/>
        <v>#N/A</v>
      </c>
      <c r="H76" s="14"/>
      <c r="I76" s="24">
        <f t="shared" si="14"/>
        <v>0</v>
      </c>
      <c r="J76" s="27">
        <f t="shared" si="13"/>
        <v>0</v>
      </c>
    </row>
    <row r="77" spans="1:10" ht="15.6" x14ac:dyDescent="0.3">
      <c r="A77" s="26"/>
      <c r="B77" s="14"/>
      <c r="C77" s="12"/>
      <c r="D77" s="12"/>
      <c r="E77" s="14" t="e">
        <f t="shared" si="9"/>
        <v>#N/A</v>
      </c>
      <c r="F77" s="16" t="e">
        <f t="shared" si="10"/>
        <v>#N/A</v>
      </c>
      <c r="G77" s="16" t="e">
        <f t="shared" si="11"/>
        <v>#N/A</v>
      </c>
      <c r="H77" s="14"/>
      <c r="I77" s="24">
        <f t="shared" si="14"/>
        <v>0</v>
      </c>
      <c r="J77" s="27">
        <f t="shared" si="13"/>
        <v>0</v>
      </c>
    </row>
    <row r="78" spans="1:10" ht="15.6" x14ac:dyDescent="0.3">
      <c r="A78" s="26"/>
      <c r="B78" s="14"/>
      <c r="C78" s="12"/>
      <c r="D78" s="12"/>
      <c r="E78" s="14" t="e">
        <f t="shared" si="9"/>
        <v>#N/A</v>
      </c>
      <c r="F78" s="16" t="e">
        <f t="shared" si="10"/>
        <v>#N/A</v>
      </c>
      <c r="G78" s="16" t="e">
        <f t="shared" si="11"/>
        <v>#N/A</v>
      </c>
      <c r="H78" s="14"/>
      <c r="I78" s="24">
        <f t="shared" si="14"/>
        <v>0</v>
      </c>
      <c r="J78" s="27">
        <f t="shared" si="13"/>
        <v>0</v>
      </c>
    </row>
    <row r="79" spans="1:10" ht="15.6" x14ac:dyDescent="0.3">
      <c r="A79" s="26"/>
      <c r="B79" s="14"/>
      <c r="C79" s="12"/>
      <c r="D79" s="12"/>
      <c r="E79" s="14" t="e">
        <f t="shared" si="9"/>
        <v>#N/A</v>
      </c>
      <c r="F79" s="16" t="e">
        <f t="shared" si="10"/>
        <v>#N/A</v>
      </c>
      <c r="G79" s="16" t="e">
        <f t="shared" si="11"/>
        <v>#N/A</v>
      </c>
      <c r="H79" s="14"/>
      <c r="I79" s="24">
        <f t="shared" si="14"/>
        <v>0</v>
      </c>
      <c r="J79" s="27">
        <f t="shared" si="13"/>
        <v>0</v>
      </c>
    </row>
    <row r="80" spans="1:10" ht="15.6" x14ac:dyDescent="0.3">
      <c r="A80" s="26"/>
      <c r="B80" s="14"/>
      <c r="C80" s="12"/>
      <c r="D80" s="12"/>
      <c r="E80" s="14" t="e">
        <f t="shared" si="9"/>
        <v>#N/A</v>
      </c>
      <c r="F80" s="16" t="e">
        <f t="shared" si="10"/>
        <v>#N/A</v>
      </c>
      <c r="G80" s="16" t="e">
        <f t="shared" si="11"/>
        <v>#N/A</v>
      </c>
      <c r="H80" s="14"/>
      <c r="I80" s="24">
        <f t="shared" si="14"/>
        <v>0</v>
      </c>
      <c r="J80" s="27">
        <f t="shared" si="13"/>
        <v>0</v>
      </c>
    </row>
    <row r="81" spans="1:10" ht="15.6" x14ac:dyDescent="0.3">
      <c r="A81" s="26"/>
      <c r="B81" s="14"/>
      <c r="C81" s="12"/>
      <c r="D81" s="12"/>
      <c r="E81" s="14" t="e">
        <f t="shared" si="9"/>
        <v>#N/A</v>
      </c>
      <c r="F81" s="16" t="e">
        <f t="shared" si="10"/>
        <v>#N/A</v>
      </c>
      <c r="G81" s="16" t="e">
        <f t="shared" si="11"/>
        <v>#N/A</v>
      </c>
      <c r="H81" s="14"/>
      <c r="I81" s="24">
        <f t="shared" si="14"/>
        <v>0</v>
      </c>
      <c r="J81" s="27">
        <f t="shared" si="13"/>
        <v>0</v>
      </c>
    </row>
    <row r="82" spans="1:10" ht="15.6" x14ac:dyDescent="0.3">
      <c r="A82" s="26"/>
      <c r="B82" s="14"/>
      <c r="C82" s="12"/>
      <c r="D82" s="12"/>
      <c r="E82" s="14" t="e">
        <f t="shared" si="9"/>
        <v>#N/A</v>
      </c>
      <c r="F82" s="16" t="e">
        <f t="shared" si="10"/>
        <v>#N/A</v>
      </c>
      <c r="G82" s="16" t="e">
        <f t="shared" si="11"/>
        <v>#N/A</v>
      </c>
      <c r="H82" s="14"/>
      <c r="I82" s="24">
        <f t="shared" si="14"/>
        <v>0</v>
      </c>
      <c r="J82" s="27">
        <f t="shared" si="13"/>
        <v>0</v>
      </c>
    </row>
    <row r="83" spans="1:10" ht="15.6" x14ac:dyDescent="0.3">
      <c r="A83" s="26"/>
      <c r="B83" s="14"/>
      <c r="C83" s="12"/>
      <c r="D83" s="12"/>
      <c r="E83" s="14" t="e">
        <f t="shared" si="9"/>
        <v>#N/A</v>
      </c>
      <c r="F83" s="16" t="e">
        <f t="shared" si="10"/>
        <v>#N/A</v>
      </c>
      <c r="G83" s="16" t="e">
        <f t="shared" si="11"/>
        <v>#N/A</v>
      </c>
      <c r="H83" s="14"/>
      <c r="I83" s="24">
        <f t="shared" si="14"/>
        <v>0</v>
      </c>
      <c r="J83" s="27">
        <f t="shared" si="13"/>
        <v>0</v>
      </c>
    </row>
    <row r="84" spans="1:10" ht="15.6" x14ac:dyDescent="0.3">
      <c r="A84" s="26"/>
      <c r="B84" s="14"/>
      <c r="C84" s="12"/>
      <c r="D84" s="12"/>
      <c r="E84" s="14" t="e">
        <f t="shared" si="9"/>
        <v>#N/A</v>
      </c>
      <c r="F84" s="16" t="e">
        <f t="shared" si="10"/>
        <v>#N/A</v>
      </c>
      <c r="G84" s="16" t="e">
        <f t="shared" si="11"/>
        <v>#N/A</v>
      </c>
      <c r="H84" s="14"/>
      <c r="I84" s="24">
        <f t="shared" si="14"/>
        <v>0</v>
      </c>
      <c r="J84" s="27">
        <f t="shared" si="13"/>
        <v>0</v>
      </c>
    </row>
    <row r="85" spans="1:10" ht="15.6" x14ac:dyDescent="0.3">
      <c r="A85" s="26"/>
      <c r="B85" s="14"/>
      <c r="C85" s="12"/>
      <c r="D85" s="12"/>
      <c r="E85" s="14" t="e">
        <f t="shared" si="9"/>
        <v>#N/A</v>
      </c>
      <c r="F85" s="16" t="e">
        <f t="shared" si="10"/>
        <v>#N/A</v>
      </c>
      <c r="G85" s="16" t="e">
        <f t="shared" si="11"/>
        <v>#N/A</v>
      </c>
      <c r="H85" s="14"/>
      <c r="I85" s="24">
        <f t="shared" si="14"/>
        <v>0</v>
      </c>
      <c r="J85" s="27">
        <f t="shared" si="13"/>
        <v>0</v>
      </c>
    </row>
    <row r="86" spans="1:10" ht="15.6" x14ac:dyDescent="0.3">
      <c r="A86" s="26"/>
      <c r="B86" s="14"/>
      <c r="C86" s="12"/>
      <c r="D86" s="12"/>
      <c r="E86" s="14" t="e">
        <f t="shared" si="9"/>
        <v>#N/A</v>
      </c>
      <c r="F86" s="16" t="e">
        <f t="shared" si="10"/>
        <v>#N/A</v>
      </c>
      <c r="G86" s="16" t="e">
        <f t="shared" si="11"/>
        <v>#N/A</v>
      </c>
      <c r="H86" s="14"/>
      <c r="I86" s="24">
        <f t="shared" si="14"/>
        <v>0</v>
      </c>
      <c r="J86" s="27">
        <f t="shared" si="13"/>
        <v>0</v>
      </c>
    </row>
    <row r="87" spans="1:10" ht="15.6" x14ac:dyDescent="0.3">
      <c r="A87" s="26"/>
      <c r="B87" s="14"/>
      <c r="C87" s="12"/>
      <c r="D87" s="12"/>
      <c r="E87" s="14" t="e">
        <f t="shared" si="9"/>
        <v>#N/A</v>
      </c>
      <c r="F87" s="16" t="e">
        <f t="shared" si="10"/>
        <v>#N/A</v>
      </c>
      <c r="G87" s="16" t="e">
        <f t="shared" si="11"/>
        <v>#N/A</v>
      </c>
      <c r="H87" s="14"/>
      <c r="I87" s="24">
        <f t="shared" si="14"/>
        <v>0</v>
      </c>
      <c r="J87" s="27">
        <f t="shared" si="13"/>
        <v>0</v>
      </c>
    </row>
    <row r="88" spans="1:10" ht="15.6" x14ac:dyDescent="0.3">
      <c r="A88" s="26"/>
      <c r="B88" s="14"/>
      <c r="C88" s="12"/>
      <c r="D88" s="12"/>
      <c r="E88" s="14" t="e">
        <f t="shared" si="9"/>
        <v>#N/A</v>
      </c>
      <c r="F88" s="16" t="e">
        <f t="shared" si="10"/>
        <v>#N/A</v>
      </c>
      <c r="G88" s="16" t="e">
        <f t="shared" si="11"/>
        <v>#N/A</v>
      </c>
      <c r="H88" s="14"/>
      <c r="I88" s="24">
        <f t="shared" si="14"/>
        <v>0</v>
      </c>
      <c r="J88" s="27">
        <f t="shared" si="13"/>
        <v>0</v>
      </c>
    </row>
    <row r="89" spans="1:10" ht="15.6" x14ac:dyDescent="0.3">
      <c r="A89" s="26"/>
      <c r="B89" s="14"/>
      <c r="C89" s="12"/>
      <c r="D89" s="12"/>
      <c r="E89" s="14" t="e">
        <f t="shared" si="9"/>
        <v>#N/A</v>
      </c>
      <c r="F89" s="16" t="e">
        <f t="shared" si="10"/>
        <v>#N/A</v>
      </c>
      <c r="G89" s="16" t="e">
        <f t="shared" si="11"/>
        <v>#N/A</v>
      </c>
      <c r="H89" s="14"/>
      <c r="I89" s="24">
        <f t="shared" si="14"/>
        <v>0</v>
      </c>
      <c r="J89" s="27">
        <f t="shared" si="13"/>
        <v>0</v>
      </c>
    </row>
    <row r="90" spans="1:10" ht="16.2" thickBot="1" x14ac:dyDescent="0.35">
      <c r="A90" s="29"/>
      <c r="B90" s="30"/>
      <c r="C90" s="31"/>
      <c r="D90" s="31"/>
      <c r="E90" s="30" t="e">
        <f t="shared" si="9"/>
        <v>#N/A</v>
      </c>
      <c r="F90" s="32" t="e">
        <f t="shared" si="10"/>
        <v>#N/A</v>
      </c>
      <c r="G90" s="32" t="e">
        <f t="shared" si="11"/>
        <v>#N/A</v>
      </c>
      <c r="H90" s="30"/>
      <c r="I90" s="25">
        <f t="shared" si="14"/>
        <v>0</v>
      </c>
      <c r="J90" s="33">
        <f t="shared" si="13"/>
        <v>0</v>
      </c>
    </row>
    <row r="91" spans="1:10" x14ac:dyDescent="0.3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spans="1:10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spans="1:10" x14ac:dyDescent="0.3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spans="1:10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0000000}">
          <x14:formula1>
            <xm:f>'Database Kategori Sampah'!$A$3:$A$27</xm:f>
          </x14:formula1>
          <xm:sqref>B2:B90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8"/>
  <sheetViews>
    <sheetView workbookViewId="0">
      <selection activeCell="B8" sqref="B8"/>
    </sheetView>
  </sheetViews>
  <sheetFormatPr defaultRowHeight="14.4" x14ac:dyDescent="0.3"/>
  <cols>
    <col min="1" max="1" width="10.44140625" customWidth="1"/>
    <col min="2" max="2" width="22.88671875" customWidth="1"/>
    <col min="4" max="4" width="11" customWidth="1"/>
    <col min="5" max="5" width="14.44140625" customWidth="1"/>
  </cols>
  <sheetData>
    <row r="1" spans="1:5" x14ac:dyDescent="0.3">
      <c r="A1" s="53" t="s">
        <v>169</v>
      </c>
      <c r="B1" s="53"/>
      <c r="C1" s="52" t="s">
        <v>175</v>
      </c>
      <c r="D1" s="52"/>
    </row>
    <row r="2" spans="1:5" x14ac:dyDescent="0.3">
      <c r="A2" s="54" t="s">
        <v>168</v>
      </c>
      <c r="B2" s="54"/>
      <c r="C2" s="51" t="str">
        <f>VLOOKUP(C1,Datanasabah,3,0)</f>
        <v>Amalia risky ningrum</v>
      </c>
      <c r="D2" s="51"/>
    </row>
    <row r="3" spans="1:5" x14ac:dyDescent="0.3">
      <c r="A3" s="54" t="s">
        <v>166</v>
      </c>
      <c r="B3" s="54"/>
      <c r="C3" s="51" t="str">
        <f>VLOOKUP(C1,Datanasabah,2,0)</f>
        <v>26.02.21.007</v>
      </c>
      <c r="D3" s="51"/>
    </row>
    <row r="4" spans="1:5" x14ac:dyDescent="0.3">
      <c r="A4" s="54" t="s">
        <v>167</v>
      </c>
      <c r="B4" s="54"/>
      <c r="C4" s="51" t="str">
        <f>VLOOKUP(C1,Datanasabah,4,FALSE)</f>
        <v>Perbankan Syariah</v>
      </c>
      <c r="D4" s="51"/>
    </row>
    <row r="5" spans="1:5" x14ac:dyDescent="0.3">
      <c r="A5" s="51" t="s">
        <v>173</v>
      </c>
      <c r="B5" s="51"/>
      <c r="C5" s="51">
        <f>VLOOKUP(C1,Datanasabah,5,FALSE)</f>
        <v>4</v>
      </c>
      <c r="D5" s="51"/>
    </row>
    <row r="6" spans="1:5" ht="15" thickBot="1" x14ac:dyDescent="0.35"/>
    <row r="7" spans="1:5" ht="15" thickBot="1" x14ac:dyDescent="0.35">
      <c r="A7" s="47" t="s">
        <v>176</v>
      </c>
      <c r="B7" s="47" t="s">
        <v>177</v>
      </c>
      <c r="C7" s="47" t="s">
        <v>178</v>
      </c>
      <c r="D7" s="47" t="s">
        <v>179</v>
      </c>
      <c r="E7" s="47" t="s">
        <v>180</v>
      </c>
    </row>
    <row r="8" spans="1:5" x14ac:dyDescent="0.3">
      <c r="B8" t="e">
        <f>VLOOKUP(C2,Pembukuan,7,FALSE)</f>
        <v>#N/A</v>
      </c>
    </row>
  </sheetData>
  <mergeCells count="10">
    <mergeCell ref="A5:B5"/>
    <mergeCell ref="C2:D2"/>
    <mergeCell ref="C1:D1"/>
    <mergeCell ref="C3:D3"/>
    <mergeCell ref="C4:D4"/>
    <mergeCell ref="C5:D5"/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Database Nasabah</vt:lpstr>
      <vt:lpstr>Database Kategori Sampah</vt:lpstr>
      <vt:lpstr>Pembukuan</vt:lpstr>
      <vt:lpstr>Sheet2</vt:lpstr>
      <vt:lpstr>Datakategori</vt:lpstr>
      <vt:lpstr>Datanasabah</vt:lpstr>
      <vt:lpstr>Pembukuan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Rudhy Anwary</cp:lastModifiedBy>
  <dcterms:created xsi:type="dcterms:W3CDTF">2022-03-19T02:06:08Z</dcterms:created>
  <dcterms:modified xsi:type="dcterms:W3CDTF">2025-12-30T13:17:07Z</dcterms:modified>
</cp:coreProperties>
</file>